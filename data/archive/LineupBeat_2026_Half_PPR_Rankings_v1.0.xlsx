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d72bd08b6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c866d05c4fd4450"/>
    <x:sheet xmlns:r="http://schemas.openxmlformats.org/officeDocument/2006/relationships" name="Overall Top 200" sheetId="2" r:id="R947382f2e1234768"/>
    <x:sheet xmlns:r="http://schemas.openxmlformats.org/officeDocument/2006/relationships" name="QB" sheetId="3" r:id="Rbcc3b52a50304c58"/>
    <x:sheet xmlns:r="http://schemas.openxmlformats.org/officeDocument/2006/relationships" name="RB" sheetId="4" r:id="R484368d9f2c04a9e"/>
    <x:sheet xmlns:r="http://schemas.openxmlformats.org/officeDocument/2006/relationships" name="WR" sheetId="5" r:id="R3a80dc0a4fcb4db0"/>
    <x:sheet xmlns:r="http://schemas.openxmlformats.org/officeDocument/2006/relationships" name="TE" sheetId="6" r:id="Rc76c3ad4bc57435f"/>
    <x:sheet xmlns:r="http://schemas.openxmlformats.org/officeDocument/2006/relationships" name="Assumptions" sheetId="7" r:id="R24e2ad6ed25748d6"/>
    <x:sheet xmlns:r="http://schemas.openxmlformats.org/officeDocument/2006/relationships" name="Source Data" sheetId="8" r:id="Rbd8ff93c83d54684"/>
    <x:sheet xmlns:r="http://schemas.openxmlformats.org/officeDocument/2006/relationships" name="Site Export" sheetId="9" r:id="Rce3e371c28a0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20"/>
      <x:color rgb="FFC6F53C"/>
      <x:name val="Carlito"/>
    </x:font>
    <x:font>
      <x:sz val="10"/>
      <x:color rgb="FFFFFFFF"/>
      <x:name val="Carlito"/>
    </x:font>
    <x:font>
      <x:b/>
      <x:sz val="11"/>
      <x:color rgb="FFC6F53C"/>
      <x:name val="Carlito"/>
    </x:font>
    <x:font>
      <x:sz val="11"/>
      <x:color rgb="FF08090B"/>
      <x:name val="Carlito"/>
    </x:font>
    <x:font>
      <x:b/>
      <x:sz val="11"/>
      <x:color rgb="FF08090B"/>
      <x:name val="Carlito"/>
    </x:font>
    <x:font>
      <x:sz val="10"/>
      <x:color rgb="FF08090B"/>
      <x:name val="Arial"/>
    </x:font>
    <x:font>
      <x:b/>
      <x:sz val="10"/>
      <x:color rgb="FF08090B"/>
      <x:name val="Arial"/>
    </x:font>
    <x:font>
      <x:i/>
      <x:sz val="10"/>
      <x:color rgb="FF737A84"/>
      <x:name val="Arial"/>
    </x:font>
    <x:font>
      <x:b/>
      <x:sz val="10"/>
      <x:color rgb="FFC6F53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8090B"/>
      </x:patternFill>
    </x:fill>
    <x:fill>
      <x:patternFill patternType="solid">
        <x:fgColor rgb="FF181B1F"/>
      </x:patternFill>
    </x:fill>
    <x:fill>
      <x:patternFill patternType="solid">
        <x:fgColor rgb="FFF5F6F7"/>
      </x:patternFill>
    </x:fill>
    <x:fill>
      <x:patternFill patternType="solid">
        <x:fgColor rgb="FFC6F53C"/>
      </x:patternFill>
    </x:fill>
    <x:fill>
      <x:patternFill patternType="solid">
        <x:fgColor rgb="FFFFF7CC"/>
      </x:patternFill>
    </x:fill>
    <x:fill>
      <x:patternFill patternType="solid">
        <x:fgColor rgb="FFF1F3F5"/>
      </x:patternFill>
    </x:fill>
  </x:fills>
  <x:borders count="9">
    <x:border/>
    <x:border>
      <x:right style="thin">
        <x:color rgb="FFD9DDE2"/>
      </x:right>
      <x:bottom style="thin">
        <x:color rgb="FFD9DDE2"/>
      </x:bottom>
    </x:border>
    <x:border>
      <x:left style="thin">
        <x:color rgb="FFD9DDE2"/>
      </x:left>
      <x:bottom style="thin">
        <x:color rgb="FFD9DDE2"/>
      </x:bottom>
    </x:border>
    <x:border>
      <x:right style="thin">
        <x:color rgb="FFD9DDE2"/>
      </x:right>
      <x:top style="thin">
        <x:color rgb="FFD9DDE2"/>
      </x:top>
      <x:bottom style="thin">
        <x:color rgb="FFD9DDE2"/>
      </x:bottom>
    </x:border>
    <x:border>
      <x:left style="thin">
        <x:color rgb="FFD9DDE2"/>
      </x:left>
      <x:top style="thin">
        <x:color rgb="FFD9DDE2"/>
      </x:top>
      <x:bottom style="thin">
        <x:color rgb="FFD9DDE2"/>
      </x:bottom>
    </x:border>
    <x:border>
      <x:right style="thin">
        <x:color rgb="FFD9DDE2"/>
      </x:right>
      <x:top style="thin">
        <x:color rgb="FFD9DDE2"/>
      </x:top>
    </x:border>
    <x:border>
      <x:left style="thin">
        <x:color rgb="FFD9DDE2"/>
      </x:left>
      <x:top style="thin">
        <x:color rgb="FFD9DDE2"/>
      </x:top>
    </x:border>
    <x:border>
      <x:bottom style="thin">
        <x:color rgb="FFD9DDE2"/>
      </x:bottom>
    </x:border>
    <x:border>
      <x:top style="thin">
        <x:color rgb="FFD9DDE2"/>
      </x:top>
      <x:bottom style="thin">
        <x:color rgb="FFD9DDE2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/>
    <x:xf numFmtId="0" fontId="4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/>
    <x:xf numFmtId="0" fontId="6" fillId="6" borderId="8" xfId="0" applyNumberFormat="1" applyFont="1" applyFill="1" applyBorder="1"/>
    <x:xf numFmtId="200" fontId="6" fillId="0" borderId="8" xfId="0" applyNumberFormat="1" applyFont="1" applyFill="1" applyBorder="1"/>
    <x:xf numFmtId="200" fontId="6" fillId="6" borderId="8" xfId="0" applyNumberFormat="1" applyFont="1" applyFill="1" applyBorder="1"/>
    <x:xf numFmtId="0" fontId="6" fillId="7" borderId="8" xfId="0" applyNumberFormat="1" applyFont="1" applyFill="1" applyBorder="1"/>
    <x:xf numFmtId="0" fontId="8" fillId="7" borderId="8" xfId="0" applyNumberFormat="1" applyFont="1" applyFill="1" applyBorder="1"/>
    <x:xf numFmtId="0" fontId="6" fillId="2" borderId="8" xfId="0" applyNumberFormat="1" applyFont="1" applyFill="1" applyBorder="1"/>
    <x:xf numFmtId="0" fontId="9" fillId="2" borderId="8" xfId="0" applyNumberFormat="1" applyFont="1" applyFill="1" applyBorder="1"/>
  </x:cellXfs>
  <x:cellStyles count="1">
    <x:cellStyle name="Normal" xfId="0"/>
  </x:cellStyles>
  <x:dxfs count="1">
    <x:dxf>
      <x:font>
        <x:b/>
        <x:color rgb="FF8B0000"/>
      </x:font>
      <x:fill>
        <x:patternFill patternType="solid">
          <x:bgColor rgb="FFFF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461e955b842a8" /><Relationship Type="http://schemas.openxmlformats.org/officeDocument/2006/relationships/theme" Target="/xl/theme/theme1.xml" Id="R6fd72774b1e448e8" /><Relationship Type="http://schemas.openxmlformats.org/officeDocument/2006/relationships/sharedStrings" Target="/xl/sharedStrings.xml" Id="R79d3c0a3eff54622" /><Relationship Type="http://schemas.openxmlformats.org/officeDocument/2006/relationships/worksheet" Target="/xl/worksheets/sheet1.xml" Id="R5c866d05c4fd4450" /><Relationship Type="http://schemas.openxmlformats.org/officeDocument/2006/relationships/worksheet" Target="/xl/worksheets/sheet2.xml" Id="R947382f2e1234768" /><Relationship Type="http://schemas.openxmlformats.org/officeDocument/2006/relationships/worksheet" Target="/xl/worksheets/sheet3.xml" Id="Rbcc3b52a50304c58" /><Relationship Type="http://schemas.openxmlformats.org/officeDocument/2006/relationships/worksheet" Target="/xl/worksheets/sheet4.xml" Id="R484368d9f2c04a9e" /><Relationship Type="http://schemas.openxmlformats.org/officeDocument/2006/relationships/worksheet" Target="/xl/worksheets/sheet5.xml" Id="R3a80dc0a4fcb4db0" /><Relationship Type="http://schemas.openxmlformats.org/officeDocument/2006/relationships/worksheet" Target="/xl/worksheets/sheet6.xml" Id="Rc76c3ad4bc57435f" /><Relationship Type="http://schemas.openxmlformats.org/officeDocument/2006/relationships/worksheet" Target="/xl/worksheets/sheet7.xml" Id="R24e2ad6ed25748d6" /><Relationship Type="http://schemas.openxmlformats.org/officeDocument/2006/relationships/worksheet" Target="/xl/worksheets/sheet8.xml" Id="Rbd8ff93c83d54684" /><Relationship Type="http://schemas.openxmlformats.org/officeDocument/2006/relationships/worksheet" Target="/xl/worksheets/sheet9.xml" Id="Rce3e371c28a04ad8" /><Relationship Type="http://schemas.microsoft.com/office/2017/10/relationships/person" Target="/xl/persons/person.xml" Id="Ra1bd870012de4204" /></Relationships>
</file>

<file path=xl/persons/person.xml><?xml version="1.0" encoding="utf-8"?>
<xltc:personList xmlns:xltc="http://schemas.microsoft.com/office/spreadsheetml/2018/threadedcomments">
  <xltc:person displayName="Blueprint Income" id="{71260BCB-469A-4C0D-AC0D-1C2FC77DD8C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3" t="str">
        <x:v>LINEUPBEAT 2026 FANTASY RANKINGS v1.0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Projection-driven Half-PPR draft rankings built from the frozen August 18, 2026 full-stat workbook.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2" t="str">
        <x:v>Default format</x:v>
      </x:c>
      <x:c r="B4" s="13" t="str">
        <x:v>12-team, one-QB, Half-PPR</x:v>
      </x:c>
    </x:row>
    <x:row r="5" ht="26" customHeight="1">
      <x:c r="A5" s="14" t="str">
        <x:v>Starting lineup</x:v>
      </x:c>
      <x:c r="B5" s="15" t="str">
        <x:v>1 QB, 2 RB, 2 WR, 1 TE, 2 FLEX</x:v>
      </x:c>
    </x:row>
    <x:row r="6" ht="26" customHeight="1">
      <x:c r="A6" s="14" t="str">
        <x:v>Ranking basis</x:v>
      </x:c>
      <x:c r="B6" s="15" t="str">
        <x:v>Value over replacement player (VORP)</x:v>
      </x:c>
    </x:row>
    <x:row r="7" ht="26" customHeight="1">
      <x:c r="A7" s="14" t="str">
        <x:v>Replacement ranks</x:v>
      </x:c>
      <x:c r="B7" s="15" t="str">
        <x:v>QB13, RB37, WR49, TE13</x:v>
      </x:c>
    </x:row>
    <x:row r="8" ht="26" customHeight="1">
      <x:c r="A8" s="14" t="str">
        <x:v>Manual adjustments</x:v>
      </x:c>
      <x:c r="B8" s="15" t="str">
        <x:v>Zero in v1.0; every future change requires a written reason</x:v>
      </x:c>
    </x:row>
    <x:row r="9" ht="26" customHeight="1">
      <x:c r="A9" s="14" t="str">
        <x:v>ADP</x:v>
      </x:c>
      <x:c r="B9" s="15" t="str">
        <x:v>Not loaded; ADP fields intentionally blank</x:v>
      </x:c>
    </x:row>
    <x:row r="10" ht="26" customHeight="1">
      <x:c r="A10" s="14" t="str">
        <x:v>Tiers</x:v>
      </x:c>
      <x:c r="B10" s="15" t="str">
        <x:v>Overall and position tiers use documented rank bands</x:v>
      </x:c>
    </x:row>
    <x:row r="11" ht="26" customHeight="1">
      <x:c r="A11" s="14" t="str">
        <x:v>Source</x:v>
      </x:c>
      <x:c r="B11" s="15" t="str">
        <x:v>2026_Fantasy_Football_Projections_Full_Stat_Lines_Updated_2026-08-18.xlsx</x:v>
      </x:c>
    </x:row>
    <x:row r="12" ht="26" customHeight="1">
      <x:c r="A12" s="14" t="str">
        <x:v>Refresh rule</x:v>
      </x:c>
      <x:c r="B12" s="15" t="str">
        <x:v>Regenerate after any frozen projection or approved adjustment changes</x:v>
      </x:c>
    </x:row>
    <x:row r="13" ht="26" customHeight="1">
      <x:c r="A13" s="16" t="str">
        <x:v>Publication status</x:v>
      </x:c>
      <x:c r="B13" s="17" t="str">
        <x:v>Ranking methodology ready; ADP value labels remain blocked until an ADP source is loaded</x:v>
      </x:c>
    </x:row>
    <x:row r="15" ht="34" customHeight="1">
      <x:c r="A15" s="20" t="str">
        <x:v>Interpretation: projections estimate production; VORP converts that production into draft value. ADP is market cost and is deliberately kept separate.</x:v>
      </x:c>
      <x:c r="B15" s="20"/>
      <x:c r="C15" s="20"/>
      <x:c r="D15" s="20"/>
      <x:c r="E15" s="20"/>
      <x:c r="F15" s="20"/>
      <x:c r="G15" s="20"/>
      <x:c r="H15" s="20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25" hidden="0" customWidth="1"/>
  </x:cols>
  <x:sheetData>
    <x:row r="1" ht="34" customHeight="1">
      <x:c r="A1" s="3" t="str">
        <x:v>HALF-PPR OVERALL TOP 200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12-team, one-QB rankings ordered by VORP plus documented manual adjustment. ADP intentionally blank until sourced.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Jahmyr Gibbs</x:v>
      </x:c>
      <x:c r="E5" s="26" t="str">
        <x:v>DET</x:v>
      </x:c>
      <x:c r="F5" s="26" t="str">
        <x:v>RB</x:v>
      </x:c>
      <x:c r="G5" s="28" t="n">
        <x:v>332.2</x:v>
      </x:c>
      <x:c r="H5" s="28" t="n">
        <x:v>207.7</x:v>
      </x:c>
      <x:c r="I5" s="28" t="n">
        <x:v>0</x:v>
      </x:c>
      <x:c r="J5" s="28" t="n">
        <x:v>207.7</x:v>
      </x:c>
      <x:c r="K5" s="27"/>
      <x:c r="L5" s="31" t="str">
        <x:v>ADP NOT LOADED</x:v>
      </x:c>
      <x:c r="M5" s="26" t="str">
        <x:v>Projection-only v1.0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Bijan Robinson</x:v>
      </x:c>
      <x:c r="E6" s="26" t="str">
        <x:v>ATL</x:v>
      </x:c>
      <x:c r="F6" s="26" t="str">
        <x:v>RB</x:v>
      </x:c>
      <x:c r="G6" s="28" t="n">
        <x:v>326.4</x:v>
      </x:c>
      <x:c r="H6" s="28" t="n">
        <x:v>201.89999999999998</x:v>
      </x:c>
      <x:c r="I6" s="28" t="n">
        <x:v>0</x:v>
      </x:c>
      <x:c r="J6" s="28" t="n">
        <x:v>201.89999999999998</x:v>
      </x:c>
      <x:c r="K6" s="27"/>
      <x:c r="L6" s="31" t="str">
        <x:v>ADP NOT LOADED</x:v>
      </x:c>
      <x:c r="M6" s="26" t="str">
        <x:v>Projection-only v1.0</x:v>
      </x:c>
    </x:row>
    <x:row r="7">
      <x:c r="A7" s="33" t="n">
        <x:v>3</x:v>
      </x:c>
      <x:c r="B7" s="26" t="n">
        <x:v>1</x:v>
      </x:c>
      <x:c r="C7" s="26" t="n">
        <x:v>1</x:v>
      </x:c>
      <x:c r="D7" s="26" t="str">
        <x:v>Puka Nacua</x:v>
      </x:c>
      <x:c r="E7" s="26" t="str">
        <x:v>LAR</x:v>
      </x:c>
      <x:c r="F7" s="26" t="str">
        <x:v>WR</x:v>
      </x:c>
      <x:c r="G7" s="28" t="n">
        <x:v>283.4</x:v>
      </x:c>
      <x:c r="H7" s="28" t="n">
        <x:v>172.79999999999998</x:v>
      </x:c>
      <x:c r="I7" s="28" t="n">
        <x:v>0</x:v>
      </x:c>
      <x:c r="J7" s="28" t="n">
        <x:v>172.79999999999998</x:v>
      </x:c>
      <x:c r="K7" s="27"/>
      <x:c r="L7" s="31" t="str">
        <x:v>ADP NOT LOADED</x:v>
      </x:c>
      <x:c r="M7" s="26" t="str">
        <x:v>Projection-only v1.0</x:v>
      </x:c>
    </x:row>
    <x:row r="8">
      <x:c r="A8" s="33" t="n">
        <x:v>4</x:v>
      </x:c>
      <x:c r="B8" s="26" t="n">
        <x:v>1</x:v>
      </x:c>
      <x:c r="C8" s="26" t="n">
        <x:v>2</x:v>
      </x:c>
      <x:c r="D8" s="26" t="str">
        <x:v>Ja'Marr Chase</x:v>
      </x:c>
      <x:c r="E8" s="26" t="str">
        <x:v>CIN</x:v>
      </x:c>
      <x:c r="F8" s="26" t="str">
        <x:v>WR</x:v>
      </x:c>
      <x:c r="G8" s="28" t="n">
        <x:v>279.4</x:v>
      </x:c>
      <x:c r="H8" s="28" t="n">
        <x:v>168.79999999999998</x:v>
      </x:c>
      <x:c r="I8" s="28" t="n">
        <x:v>0</x:v>
      </x:c>
      <x:c r="J8" s="28" t="n">
        <x:v>168.79999999999998</x:v>
      </x:c>
      <x:c r="K8" s="27"/>
      <x:c r="L8" s="31" t="str">
        <x:v>ADP NOT LOADED</x:v>
      </x:c>
      <x:c r="M8" s="26" t="str">
        <x:v>Projection-only v1.0</x:v>
      </x:c>
    </x:row>
    <x:row r="9">
      <x:c r="A9" s="33" t="n">
        <x:v>5</x:v>
      </x:c>
      <x:c r="B9" s="26" t="n">
        <x:v>1</x:v>
      </x:c>
      <x:c r="C9" s="26" t="n">
        <x:v>3</x:v>
      </x:c>
      <x:c r="D9" s="26" t="str">
        <x:v>Christian McCaffrey</x:v>
      </x:c>
      <x:c r="E9" s="26" t="str">
        <x:v>SF</x:v>
      </x:c>
      <x:c r="F9" s="26" t="str">
        <x:v>RB</x:v>
      </x:c>
      <x:c r="G9" s="28" t="n">
        <x:v>288.1</x:v>
      </x:c>
      <x:c r="H9" s="28" t="n">
        <x:v>163.60000000000002</x:v>
      </x:c>
      <x:c r="I9" s="28" t="n">
        <x:v>0</x:v>
      </x:c>
      <x:c r="J9" s="28" t="n">
        <x:v>163.60000000000002</x:v>
      </x:c>
      <x:c r="K9" s="27"/>
      <x:c r="L9" s="31" t="str">
        <x:v>ADP NOT LOADED</x:v>
      </x:c>
      <x:c r="M9" s="26" t="str">
        <x:v>Projection-only v1.0</x:v>
      </x:c>
    </x:row>
    <x:row r="10">
      <x:c r="A10" s="33" t="n">
        <x:v>6</x:v>
      </x:c>
      <x:c r="B10" s="26" t="n">
        <x:v>1</x:v>
      </x:c>
      <x:c r="C10" s="26" t="n">
        <x:v>4</x:v>
      </x:c>
      <x:c r="D10" s="26" t="str">
        <x:v>Jonathan Taylor</x:v>
      </x:c>
      <x:c r="E10" s="26" t="str">
        <x:v>IND</x:v>
      </x:c>
      <x:c r="F10" s="26" t="str">
        <x:v>RB</x:v>
      </x:c>
      <x:c r="G10" s="28" t="n">
        <x:v>285.8</x:v>
      </x:c>
      <x:c r="H10" s="28" t="n">
        <x:v>161.3</x:v>
      </x:c>
      <x:c r="I10" s="28" t="n">
        <x:v>0</x:v>
      </x:c>
      <x:c r="J10" s="28" t="n">
        <x:v>161.3</x:v>
      </x:c>
      <x:c r="K10" s="27"/>
      <x:c r="L10" s="31" t="str">
        <x:v>ADP NOT LOADED</x:v>
      </x:c>
      <x:c r="M10" s="26" t="str">
        <x:v>Projection-only v1.0</x:v>
      </x:c>
    </x:row>
    <x:row r="11">
      <x:c r="A11" s="33" t="n">
        <x:v>7</x:v>
      </x:c>
      <x:c r="B11" s="26" t="n">
        <x:v>1</x:v>
      </x:c>
      <x:c r="C11" s="26" t="n">
        <x:v>3</x:v>
      </x:c>
      <x:c r="D11" s="26" t="str">
        <x:v>Jaxon Smith-Njigba</x:v>
      </x:c>
      <x:c r="E11" s="26" t="str">
        <x:v>SEA</x:v>
      </x:c>
      <x:c r="F11" s="26" t="str">
        <x:v>WR</x:v>
      </x:c>
      <x:c r="G11" s="28" t="n">
        <x:v>263.7</x:v>
      </x:c>
      <x:c r="H11" s="28" t="n">
        <x:v>153.1</x:v>
      </x:c>
      <x:c r="I11" s="28" t="n">
        <x:v>0</x:v>
      </x:c>
      <x:c r="J11" s="28" t="n">
        <x:v>153.1</x:v>
      </x:c>
      <x:c r="K11" s="27"/>
      <x:c r="L11" s="31" t="str">
        <x:v>ADP NOT LOADED</x:v>
      </x:c>
      <x:c r="M11" s="26" t="str">
        <x:v>Projection-only v1.0</x:v>
      </x:c>
    </x:row>
    <x:row r="12">
      <x:c r="A12" s="33" t="n">
        <x:v>8</x:v>
      </x:c>
      <x:c r="B12" s="26" t="n">
        <x:v>1</x:v>
      </x:c>
      <x:c r="C12" s="26" t="n">
        <x:v>4</x:v>
      </x:c>
      <x:c r="D12" s="26" t="str">
        <x:v>Amon-Ra St. Brown</x:v>
      </x:c>
      <x:c r="E12" s="26" t="str">
        <x:v>DET</x:v>
      </x:c>
      <x:c r="F12" s="26" t="str">
        <x:v>WR</x:v>
      </x:c>
      <x:c r="G12" s="28" t="n">
        <x:v>255.8</x:v>
      </x:c>
      <x:c r="H12" s="28" t="n">
        <x:v>145.20000000000002</x:v>
      </x:c>
      <x:c r="I12" s="28" t="n">
        <x:v>0</x:v>
      </x:c>
      <x:c r="J12" s="28" t="n">
        <x:v>145.20000000000002</x:v>
      </x:c>
      <x:c r="K12" s="27"/>
      <x:c r="L12" s="31" t="str">
        <x:v>ADP NOT LOADED</x:v>
      </x:c>
      <x:c r="M12" s="26" t="str">
        <x:v>Projection-only v1.0</x:v>
      </x:c>
    </x:row>
    <x:row r="13">
      <x:c r="A13" s="26" t="n">
        <x:v>9</x:v>
      </x:c>
      <x:c r="B13" s="26" t="n">
        <x:v>2</x:v>
      </x:c>
      <x:c r="C13" s="26" t="n">
        <x:v>5</x:v>
      </x:c>
      <x:c r="D13" s="26" t="str">
        <x:v>Omarion Hampton</x:v>
      </x:c>
      <x:c r="E13" s="26" t="str">
        <x:v>LAC</x:v>
      </x:c>
      <x:c r="F13" s="26" t="str">
        <x:v>RB</x:v>
      </x:c>
      <x:c r="G13" s="28" t="n">
        <x:v>261.3</x:v>
      </x:c>
      <x:c r="H13" s="28" t="n">
        <x:v>136.8</x:v>
      </x:c>
      <x:c r="I13" s="28" t="n">
        <x:v>0</x:v>
      </x:c>
      <x:c r="J13" s="28" t="n">
        <x:v>136.8</x:v>
      </x:c>
      <x:c r="K13" s="27"/>
      <x:c r="L13" s="31" t="str">
        <x:v>ADP NOT LOADED</x:v>
      </x:c>
      <x:c r="M13" s="26" t="str">
        <x:v>Projection-only v1.0</x:v>
      </x:c>
    </x:row>
    <x:row r="14">
      <x:c r="A14" s="26" t="n">
        <x:v>10</x:v>
      </x:c>
      <x:c r="B14" s="26" t="n">
        <x:v>2</x:v>
      </x:c>
      <x:c r="C14" s="26" t="n">
        <x:v>11</x:v>
      </x:c>
      <x:c r="D14" s="26" t="str">
        <x:v>Derrick Henry</x:v>
      </x:c>
      <x:c r="E14" s="26" t="str">
        <x:v>BAL</x:v>
      </x:c>
      <x:c r="F14" s="26" t="str">
        <x:v>RB</x:v>
      </x:c>
      <x:c r="G14" s="28" t="n">
        <x:v>256.7</x:v>
      </x:c>
      <x:c r="H14" s="28" t="n">
        <x:v>132.2</x:v>
      </x:c>
      <x:c r="I14" s="28" t="n">
        <x:v>0</x:v>
      </x:c>
      <x:c r="J14" s="28" t="n">
        <x:v>132.2</x:v>
      </x:c>
      <x:c r="K14" s="27"/>
      <x:c r="L14" s="31" t="str">
        <x:v>ADP NOT LOADED</x:v>
      </x:c>
      <x:c r="M14" s="26" t="str">
        <x:v>Projection-only v1.0</x:v>
      </x:c>
    </x:row>
    <x:row r="15">
      <x:c r="A15" s="26" t="n">
        <x:v>11</x:v>
      </x:c>
      <x:c r="B15" s="26" t="n">
        <x:v>2</x:v>
      </x:c>
      <x:c r="C15" s="26" t="n">
        <x:v>6</x:v>
      </x:c>
      <x:c r="D15" s="26" t="str">
        <x:v>De'Von Achane</x:v>
      </x:c>
      <x:c r="E15" s="26" t="str">
        <x:v>MIA</x:v>
      </x:c>
      <x:c r="F15" s="26" t="str">
        <x:v>RB</x:v>
      </x:c>
      <x:c r="G15" s="28" t="n">
        <x:v>256.1</x:v>
      </x:c>
      <x:c r="H15" s="28" t="n">
        <x:v>131.60000000000002</x:v>
      </x:c>
      <x:c r="I15" s="28" t="n">
        <x:v>0</x:v>
      </x:c>
      <x:c r="J15" s="28" t="n">
        <x:v>131.60000000000002</x:v>
      </x:c>
      <x:c r="K15" s="27"/>
      <x:c r="L15" s="31" t="str">
        <x:v>ADP NOT LOADED</x:v>
      </x:c>
      <x:c r="M15" s="26" t="str">
        <x:v>Projection-only v1.0</x:v>
      </x:c>
    </x:row>
    <x:row r="16">
      <x:c r="A16" s="26" t="n">
        <x:v>12</x:v>
      </x:c>
      <x:c r="B16" s="26" t="n">
        <x:v>2</x:v>
      </x:c>
      <x:c r="C16" s="26" t="n">
        <x:v>9</x:v>
      </x:c>
      <x:c r="D16" s="26" t="str">
        <x:v>James Cook III</x:v>
      </x:c>
      <x:c r="E16" s="26" t="str">
        <x:v>BUF</x:v>
      </x:c>
      <x:c r="F16" s="26" t="str">
        <x:v>RB</x:v>
      </x:c>
      <x:c r="G16" s="28" t="n">
        <x:v>255.2</x:v>
      </x:c>
      <x:c r="H16" s="28" t="n">
        <x:v>130.7</x:v>
      </x:c>
      <x:c r="I16" s="28" t="n">
        <x:v>0</x:v>
      </x:c>
      <x:c r="J16" s="28" t="n">
        <x:v>130.7</x:v>
      </x:c>
      <x:c r="K16" s="27"/>
      <x:c r="L16" s="31" t="str">
        <x:v>ADP NOT LOADED</x:v>
      </x:c>
      <x:c r="M16" s="26" t="str">
        <x:v>Projection-only v1.0</x:v>
      </x:c>
    </x:row>
    <x:row r="17">
      <x:c r="A17" s="26" t="n">
        <x:v>13</x:v>
      </x:c>
      <x:c r="B17" s="26" t="n">
        <x:v>2</x:v>
      </x:c>
      <x:c r="C17" s="26" t="n">
        <x:v>10</x:v>
      </x:c>
      <x:c r="D17" s="26" t="str">
        <x:v>Kenneth Walker III</x:v>
      </x:c>
      <x:c r="E17" s="26" t="str">
        <x:v>KC</x:v>
      </x:c>
      <x:c r="F17" s="26" t="str">
        <x:v>RB</x:v>
      </x:c>
      <x:c r="G17" s="28" t="n">
        <x:v>247.9</x:v>
      </x:c>
      <x:c r="H17" s="28" t="n">
        <x:v>123.4</x:v>
      </x:c>
      <x:c r="I17" s="28" t="n">
        <x:v>0</x:v>
      </x:c>
      <x:c r="J17" s="28" t="n">
        <x:v>123.4</x:v>
      </x:c>
      <x:c r="K17" s="27"/>
      <x:c r="L17" s="31" t="str">
        <x:v>ADP NOT LOADED</x:v>
      </x:c>
      <x:c r="M17" s="26" t="str">
        <x:v>Projection-only v1.0</x:v>
      </x:c>
    </x:row>
    <x:row r="18">
      <x:c r="A18" s="26" t="n">
        <x:v>14</x:v>
      </x:c>
      <x:c r="B18" s="26" t="n">
        <x:v>2</x:v>
      </x:c>
      <x:c r="C18" s="26" t="n">
        <x:v>7</x:v>
      </x:c>
      <x:c r="D18" s="26" t="str">
        <x:v>Chase Brown</x:v>
      </x:c>
      <x:c r="E18" s="26" t="str">
        <x:v>CIN</x:v>
      </x:c>
      <x:c r="F18" s="26" t="str">
        <x:v>RB</x:v>
      </x:c>
      <x:c r="G18" s="28" t="n">
        <x:v>247.4</x:v>
      </x:c>
      <x:c r="H18" s="28" t="n">
        <x:v>122.9</x:v>
      </x:c>
      <x:c r="I18" s="28" t="n">
        <x:v>0</x:v>
      </x:c>
      <x:c r="J18" s="28" t="n">
        <x:v>122.9</x:v>
      </x:c>
      <x:c r="K18" s="27"/>
      <x:c r="L18" s="31" t="str">
        <x:v>ADP NOT LOADED</x:v>
      </x:c>
      <x:c r="M18" s="26" t="str">
        <x:v>Projection-only v1.0</x:v>
      </x:c>
    </x:row>
    <x:row r="19">
      <x:c r="A19" s="26" t="n">
        <x:v>15</x:v>
      </x:c>
      <x:c r="B19" s="26" t="n">
        <x:v>2</x:v>
      </x:c>
      <x:c r="C19" s="26" t="n">
        <x:v>8</x:v>
      </x:c>
      <x:c r="D19" s="26" t="str">
        <x:v>Ashton Jeanty</x:v>
      </x:c>
      <x:c r="E19" s="26" t="str">
        <x:v>LV</x:v>
      </x:c>
      <x:c r="F19" s="26" t="str">
        <x:v>RB</x:v>
      </x:c>
      <x:c r="G19" s="28" t="n">
        <x:v>246</x:v>
      </x:c>
      <x:c r="H19" s="28" t="n">
        <x:v>121.5</x:v>
      </x:c>
      <x:c r="I19" s="28" t="n">
        <x:v>0</x:v>
      </x:c>
      <x:c r="J19" s="28" t="n">
        <x:v>121.5</x:v>
      </x:c>
      <x:c r="K19" s="27"/>
      <x:c r="L19" s="31" t="str">
        <x:v>ADP NOT LOADED</x:v>
      </x:c>
      <x:c r="M19" s="26" t="str">
        <x:v>Projection-only v1.0</x:v>
      </x:c>
    </x:row>
    <x:row r="20">
      <x:c r="A20" s="26" t="n">
        <x:v>16</x:v>
      </x:c>
      <x:c r="B20" s="26" t="n">
        <x:v>2</x:v>
      </x:c>
      <x:c r="C20" s="26" t="n">
        <x:v>5</x:v>
      </x:c>
      <x:c r="D20" s="26" t="str">
        <x:v>Justin Jefferson</x:v>
      </x:c>
      <x:c r="E20" s="26" t="str">
        <x:v>MIN</x:v>
      </x:c>
      <x:c r="F20" s="26" t="str">
        <x:v>WR</x:v>
      </x:c>
      <x:c r="G20" s="28" t="n">
        <x:v>231</x:v>
      </x:c>
      <x:c r="H20" s="28" t="n">
        <x:v>120.4</x:v>
      </x:c>
      <x:c r="I20" s="28" t="n">
        <x:v>0</x:v>
      </x:c>
      <x:c r="J20" s="28" t="n">
        <x:v>120.4</x:v>
      </x:c>
      <x:c r="K20" s="27"/>
      <x:c r="L20" s="31" t="str">
        <x:v>ADP NOT LOADED</x:v>
      </x:c>
      <x:c r="M20" s="26" t="str">
        <x:v>Projection-only v1.0</x:v>
      </x:c>
    </x:row>
    <x:row r="21">
      <x:c r="A21" s="26" t="n">
        <x:v>17</x:v>
      </x:c>
      <x:c r="B21" s="26" t="n">
        <x:v>2</x:v>
      </x:c>
      <x:c r="C21" s="26" t="n">
        <x:v>12</x:v>
      </x:c>
      <x:c r="D21" s="26" t="str">
        <x:v>Saquon Barkley</x:v>
      </x:c>
      <x:c r="E21" s="26" t="str">
        <x:v>PHI</x:v>
      </x:c>
      <x:c r="F21" s="26" t="str">
        <x:v>RB</x:v>
      </x:c>
      <x:c r="G21" s="28" t="n">
        <x:v>243</x:v>
      </x:c>
      <x:c r="H21" s="28" t="n">
        <x:v>118.5</x:v>
      </x:c>
      <x:c r="I21" s="28" t="n">
        <x:v>0</x:v>
      </x:c>
      <x:c r="J21" s="28" t="n">
        <x:v>118.5</x:v>
      </x:c>
      <x:c r="K21" s="27"/>
      <x:c r="L21" s="31" t="str">
        <x:v>ADP NOT LOADED</x:v>
      </x:c>
      <x:c r="M21" s="26" t="str">
        <x:v>Projection-only v1.0</x:v>
      </x:c>
    </x:row>
    <x:row r="22">
      <x:c r="A22" s="26" t="n">
        <x:v>18</x:v>
      </x:c>
      <x:c r="B22" s="26" t="n">
        <x:v>2</x:v>
      </x:c>
      <x:c r="C22" s="26" t="n">
        <x:v>6</x:v>
      </x:c>
      <x:c r="D22" s="26" t="str">
        <x:v>CeeDee Lamb</x:v>
      </x:c>
      <x:c r="E22" s="26" t="str">
        <x:v>DAL</x:v>
      </x:c>
      <x:c r="F22" s="26" t="str">
        <x:v>WR</x:v>
      </x:c>
      <x:c r="G22" s="28" t="n">
        <x:v>223.6</x:v>
      </x:c>
      <x:c r="H22" s="28" t="n">
        <x:v>113</x:v>
      </x:c>
      <x:c r="I22" s="28" t="n">
        <x:v>0</x:v>
      </x:c>
      <x:c r="J22" s="28" t="n">
        <x:v>113</x:v>
      </x:c>
      <x:c r="K22" s="27"/>
      <x:c r="L22" s="31" t="str">
        <x:v>ADP NOT LOADED</x:v>
      </x:c>
      <x:c r="M22" s="26" t="str">
        <x:v>Projection-only v1.0</x:v>
      </x:c>
    </x:row>
    <x:row r="23">
      <x:c r="A23" s="26" t="n">
        <x:v>19</x:v>
      </x:c>
      <x:c r="B23" s="26" t="n">
        <x:v>2</x:v>
      </x:c>
      <x:c r="C23" s="26" t="n">
        <x:v>7</x:v>
      </x:c>
      <x:c r="D23" s="26" t="str">
        <x:v>Drake London</x:v>
      </x:c>
      <x:c r="E23" s="26" t="str">
        <x:v>ATL</x:v>
      </x:c>
      <x:c r="F23" s="26" t="str">
        <x:v>WR</x:v>
      </x:c>
      <x:c r="G23" s="28" t="n">
        <x:v>222.5</x:v>
      </x:c>
      <x:c r="H23" s="28" t="n">
        <x:v>111.9</x:v>
      </x:c>
      <x:c r="I23" s="28" t="n">
        <x:v>0</x:v>
      </x:c>
      <x:c r="J23" s="28" t="n">
        <x:v>111.9</x:v>
      </x:c>
      <x:c r="K23" s="27"/>
      <x:c r="L23" s="31" t="str">
        <x:v>ADP NOT LOADED</x:v>
      </x:c>
      <x:c r="M23" s="26" t="str">
        <x:v>Projection-only v1.0</x:v>
      </x:c>
    </x:row>
    <x:row r="24">
      <x:c r="A24" s="26" t="n">
        <x:v>20</x:v>
      </x:c>
      <x:c r="B24" s="26" t="n">
        <x:v>2</x:v>
      </x:c>
      <x:c r="C24" s="26" t="n">
        <x:v>13</x:v>
      </x:c>
      <x:c r="D24" s="26" t="str">
        <x:v>Josh Jacobs</x:v>
      </x:c>
      <x:c r="E24" s="26" t="str">
        <x:v>GB</x:v>
      </x:c>
      <x:c r="F24" s="26" t="str">
        <x:v>RB</x:v>
      </x:c>
      <x:c r="G24" s="28" t="n">
        <x:v>234.9</x:v>
      </x:c>
      <x:c r="H24" s="28" t="n">
        <x:v>110.4</x:v>
      </x:c>
      <x:c r="I24" s="28" t="n">
        <x:v>0</x:v>
      </x:c>
      <x:c r="J24" s="28" t="n">
        <x:v>110.4</x:v>
      </x:c>
      <x:c r="K24" s="27"/>
      <x:c r="L24" s="31" t="str">
        <x:v>ADP NOT LOADED</x:v>
      </x:c>
      <x:c r="M24" s="26" t="str">
        <x:v>Projection-only v1.0</x:v>
      </x:c>
    </x:row>
    <x:row r="25">
      <x:c r="A25" s="26" t="n">
        <x:v>21</x:v>
      </x:c>
      <x:c r="B25" s="26" t="n">
        <x:v>2</x:v>
      </x:c>
      <x:c r="C25" s="26" t="n">
        <x:v>14</x:v>
      </x:c>
      <x:c r="D25" s="26" t="str">
        <x:v>Javonte Williams</x:v>
      </x:c>
      <x:c r="E25" s="26" t="str">
        <x:v>DAL</x:v>
      </x:c>
      <x:c r="F25" s="26" t="str">
        <x:v>RB</x:v>
      </x:c>
      <x:c r="G25" s="28" t="n">
        <x:v>229.5</x:v>
      </x:c>
      <x:c r="H25" s="28" t="n">
        <x:v>105</x:v>
      </x:c>
      <x:c r="I25" s="28" t="n">
        <x:v>0</x:v>
      </x:c>
      <x:c r="J25" s="28" t="n">
        <x:v>105</x:v>
      </x:c>
      <x:c r="K25" s="27"/>
      <x:c r="L25" s="31" t="str">
        <x:v>ADP NOT LOADED</x:v>
      </x:c>
      <x:c r="M25" s="26" t="str">
        <x:v>Projection-only v1.0</x:v>
      </x:c>
    </x:row>
    <x:row r="26">
      <x:c r="A26" s="26" t="n">
        <x:v>22</x:v>
      </x:c>
      <x:c r="B26" s="26" t="n">
        <x:v>2</x:v>
      </x:c>
      <x:c r="C26" s="26" t="n">
        <x:v>8</x:v>
      </x:c>
      <x:c r="D26" s="26" t="str">
        <x:v>Rashee Rice</x:v>
      </x:c>
      <x:c r="E26" s="26" t="str">
        <x:v>KC</x:v>
      </x:c>
      <x:c r="F26" s="26" t="str">
        <x:v>WR</x:v>
      </x:c>
      <x:c r="G26" s="28" t="n">
        <x:v>215.5</x:v>
      </x:c>
      <x:c r="H26" s="28" t="n">
        <x:v>104.9</x:v>
      </x:c>
      <x:c r="I26" s="28" t="n">
        <x:v>0</x:v>
      </x:c>
      <x:c r="J26" s="28" t="n">
        <x:v>104.9</x:v>
      </x:c>
      <x:c r="K26" s="27"/>
      <x:c r="L26" s="31" t="str">
        <x:v>ADP NOT LOADED</x:v>
      </x:c>
      <x:c r="M26" s="26" t="str">
        <x:v>Projection-only v1.0</x:v>
      </x:c>
    </x:row>
    <x:row r="27">
      <x:c r="A27" s="26" t="n">
        <x:v>23</x:v>
      </x:c>
      <x:c r="B27" s="26" t="n">
        <x:v>2</x:v>
      </x:c>
      <x:c r="C27" s="26" t="n">
        <x:v>15</x:v>
      </x:c>
      <x:c r="D27" s="26" t="str">
        <x:v>Kyren Williams</x:v>
      </x:c>
      <x:c r="E27" s="26" t="str">
        <x:v>LAR</x:v>
      </x:c>
      <x:c r="F27" s="26" t="str">
        <x:v>RB</x:v>
      </x:c>
      <x:c r="G27" s="28" t="n">
        <x:v>226.2</x:v>
      </x:c>
      <x:c r="H27" s="28" t="n">
        <x:v>101.69999999999999</x:v>
      </x:c>
      <x:c r="I27" s="28" t="n">
        <x:v>0</x:v>
      </x:c>
      <x:c r="J27" s="28" t="n">
        <x:v>101.69999999999999</x:v>
      </x:c>
      <x:c r="K27" s="27"/>
      <x:c r="L27" s="31" t="str">
        <x:v>ADP NOT LOADED</x:v>
      </x:c>
      <x:c r="M27" s="26" t="str">
        <x:v>Projection-only v1.0</x:v>
      </x:c>
    </x:row>
    <x:row r="28">
      <x:c r="A28" s="26" t="n">
        <x:v>24</x:v>
      </x:c>
      <x:c r="B28" s="26" t="n">
        <x:v>2</x:v>
      </x:c>
      <x:c r="C28" s="26" t="n">
        <x:v>10</x:v>
      </x:c>
      <x:c r="D28" s="26" t="str">
        <x:v>A.J. Brown</x:v>
      </x:c>
      <x:c r="E28" s="26" t="str">
        <x:v>NE</x:v>
      </x:c>
      <x:c r="F28" s="26" t="str">
        <x:v>WR</x:v>
      </x:c>
      <x:c r="G28" s="28" t="n">
        <x:v>209.7</x:v>
      </x:c>
      <x:c r="H28" s="28" t="n">
        <x:v>99.1</x:v>
      </x:c>
      <x:c r="I28" s="28" t="n">
        <x:v>0</x:v>
      </x:c>
      <x:c r="J28" s="28" t="n">
        <x:v>99.1</x:v>
      </x:c>
      <x:c r="K28" s="27"/>
      <x:c r="L28" s="31" t="str">
        <x:v>ADP NOT LOADED</x:v>
      </x:c>
      <x:c r="M28" s="26" t="str">
        <x:v>Projection-only v1.0</x:v>
      </x:c>
    </x:row>
    <x:row r="29">
      <x:c r="A29" s="26" t="n">
        <x:v>25</x:v>
      </x:c>
      <x:c r="B29" s="26" t="n">
        <x:v>3</x:v>
      </x:c>
      <x:c r="C29" s="26" t="n">
        <x:v>9</x:v>
      </x:c>
      <x:c r="D29" s="26" t="str">
        <x:v>Chris Olave</x:v>
      </x:c>
      <x:c r="E29" s="26" t="str">
        <x:v>NO</x:v>
      </x:c>
      <x:c r="F29" s="26" t="str">
        <x:v>WR</x:v>
      </x:c>
      <x:c r="G29" s="28" t="n">
        <x:v>209.3</x:v>
      </x:c>
      <x:c r="H29" s="28" t="n">
        <x:v>98.70000000000002</x:v>
      </x:c>
      <x:c r="I29" s="28" t="n">
        <x:v>0</x:v>
      </x:c>
      <x:c r="J29" s="28" t="n">
        <x:v>98.70000000000002</x:v>
      </x:c>
      <x:c r="K29" s="27"/>
      <x:c r="L29" s="31" t="str">
        <x:v>ADP NOT LOADED</x:v>
      </x:c>
      <x:c r="M29" s="26" t="str">
        <x:v>Projection-only v1.0</x:v>
      </x:c>
    </x:row>
    <x:row r="30">
      <x:c r="A30" s="26" t="n">
        <x:v>26</x:v>
      </x:c>
      <x:c r="B30" s="26" t="n">
        <x:v>3</x:v>
      </x:c>
      <x:c r="C30" s="26" t="n">
        <x:v>11</x:v>
      </x:c>
      <x:c r="D30" s="26" t="str">
        <x:v>Nico Collins</x:v>
      </x:c>
      <x:c r="E30" s="26" t="str">
        <x:v>HOU</x:v>
      </x:c>
      <x:c r="F30" s="26" t="str">
        <x:v>WR</x:v>
      </x:c>
      <x:c r="G30" s="28" t="n">
        <x:v>206.7</x:v>
      </x:c>
      <x:c r="H30" s="28" t="n">
        <x:v>96.1</x:v>
      </x:c>
      <x:c r="I30" s="28" t="n">
        <x:v>0</x:v>
      </x:c>
      <x:c r="J30" s="28" t="n">
        <x:v>96.1</x:v>
      </x:c>
      <x:c r="K30" s="27"/>
      <x:c r="L30" s="31" t="str">
        <x:v>ADP NOT LOADED</x:v>
      </x:c>
      <x:c r="M30" s="26" t="str">
        <x:v>Projection-only v1.0</x:v>
      </x:c>
    </x:row>
    <x:row r="31">
      <x:c r="A31" s="26" t="n">
        <x:v>27</x:v>
      </x:c>
      <x:c r="B31" s="26" t="n">
        <x:v>3</x:v>
      </x:c>
      <x:c r="C31" s="26" t="n">
        <x:v>12</x:v>
      </x:c>
      <x:c r="D31" s="26" t="str">
        <x:v>George Pickens</x:v>
      </x:c>
      <x:c r="E31" s="26" t="str">
        <x:v>DAL</x:v>
      </x:c>
      <x:c r="F31" s="26" t="str">
        <x:v>WR</x:v>
      </x:c>
      <x:c r="G31" s="28" t="n">
        <x:v>205.6</x:v>
      </x:c>
      <x:c r="H31" s="28" t="n">
        <x:v>95</x:v>
      </x:c>
      <x:c r="I31" s="28" t="n">
        <x:v>0</x:v>
      </x:c>
      <x:c r="J31" s="28" t="n">
        <x:v>95</x:v>
      </x:c>
      <x:c r="K31" s="27"/>
      <x:c r="L31" s="31" t="str">
        <x:v>ADP NOT LOADED</x:v>
      </x:c>
      <x:c r="M31" s="26" t="str">
        <x:v>Projection-only v1.0</x:v>
      </x:c>
    </x:row>
    <x:row r="32">
      <x:c r="A32" s="26" t="n">
        <x:v>28</x:v>
      </x:c>
      <x:c r="B32" s="26" t="n">
        <x:v>3</x:v>
      </x:c>
      <x:c r="C32" s="26" t="n">
        <x:v>13</x:v>
      </x:c>
      <x:c r="D32" s="26" t="str">
        <x:v>Zay Flowers</x:v>
      </x:c>
      <x:c r="E32" s="26" t="str">
        <x:v>BAL</x:v>
      </x:c>
      <x:c r="F32" s="26" t="str">
        <x:v>WR</x:v>
      </x:c>
      <x:c r="G32" s="28" t="n">
        <x:v>202.1</x:v>
      </x:c>
      <x:c r="H32" s="28" t="n">
        <x:v>91.5</x:v>
      </x:c>
      <x:c r="I32" s="28" t="n">
        <x:v>0</x:v>
      </x:c>
      <x:c r="J32" s="28" t="n">
        <x:v>91.5</x:v>
      </x:c>
      <x:c r="K32" s="27"/>
      <x:c r="L32" s="31" t="str">
        <x:v>ADP NOT LOADED</x:v>
      </x:c>
      <x:c r="M32" s="26" t="str">
        <x:v>Projection-only v1.0</x:v>
      </x:c>
    </x:row>
    <x:row r="33">
      <x:c r="A33" s="26" t="n">
        <x:v>29</x:v>
      </x:c>
      <x:c r="B33" s="26" t="n">
        <x:v>3</x:v>
      </x:c>
      <x:c r="C33" s="26" t="n">
        <x:v>16</x:v>
      </x:c>
      <x:c r="D33" s="26" t="str">
        <x:v>Breece Hall</x:v>
      </x:c>
      <x:c r="E33" s="26" t="str">
        <x:v>NYJ</x:v>
      </x:c>
      <x:c r="F33" s="26" t="str">
        <x:v>RB</x:v>
      </x:c>
      <x:c r="G33" s="28" t="n">
        <x:v>215.7</x:v>
      </x:c>
      <x:c r="H33" s="28" t="n">
        <x:v>91.19999999999999</x:v>
      </x:c>
      <x:c r="I33" s="28" t="n">
        <x:v>0</x:v>
      </x:c>
      <x:c r="J33" s="28" t="n">
        <x:v>91.19999999999999</x:v>
      </x:c>
      <x:c r="K33" s="27"/>
      <x:c r="L33" s="31" t="str">
        <x:v>ADP NOT LOADED</x:v>
      </x:c>
      <x:c r="M33" s="26" t="str">
        <x:v>Projection-only v1.0</x:v>
      </x:c>
    </x:row>
    <x:row r="34">
      <x:c r="A34" s="26" t="n">
        <x:v>30</x:v>
      </x:c>
      <x:c r="B34" s="26" t="n">
        <x:v>3</x:v>
      </x:c>
      <x:c r="C34" s="26" t="n">
        <x:v>17</x:v>
      </x:c>
      <x:c r="D34" s="26" t="str">
        <x:v>D'Andre Swift</x:v>
      </x:c>
      <x:c r="E34" s="26" t="str">
        <x:v>CHI</x:v>
      </x:c>
      <x:c r="F34" s="26" t="str">
        <x:v>RB</x:v>
      </x:c>
      <x:c r="G34" s="28" t="n">
        <x:v>205.6</x:v>
      </x:c>
      <x:c r="H34" s="28" t="n">
        <x:v>81.1</x:v>
      </x:c>
      <x:c r="I34" s="28" t="n">
        <x:v>0</x:v>
      </x:c>
      <x:c r="J34" s="28" t="n">
        <x:v>81.1</x:v>
      </x:c>
      <x:c r="K34" s="27"/>
      <x:c r="L34" s="31" t="str">
        <x:v>ADP NOT LOADED</x:v>
      </x:c>
      <x:c r="M34" s="26" t="str">
        <x:v>Projection-only v1.0</x:v>
      </x:c>
    </x:row>
    <x:row r="35">
      <x:c r="A35" s="26" t="n">
        <x:v>31</x:v>
      </x:c>
      <x:c r="B35" s="26" t="n">
        <x:v>3</x:v>
      </x:c>
      <x:c r="C35" s="26" t="n">
        <x:v>14</x:v>
      </x:c>
      <x:c r="D35" s="26" t="str">
        <x:v>Rome Odunze</x:v>
      </x:c>
      <x:c r="E35" s="26" t="str">
        <x:v>CHI</x:v>
      </x:c>
      <x:c r="F35" s="26" t="str">
        <x:v>WR</x:v>
      </x:c>
      <x:c r="G35" s="28" t="n">
        <x:v>190.9</x:v>
      </x:c>
      <x:c r="H35" s="28" t="n">
        <x:v>80.30000000000001</x:v>
      </x:c>
      <x:c r="I35" s="28" t="n">
        <x:v>0</x:v>
      </x:c>
      <x:c r="J35" s="28" t="n">
        <x:v>80.30000000000001</x:v>
      </x:c>
      <x:c r="K35" s="27"/>
      <x:c r="L35" s="31" t="str">
        <x:v>ADP NOT LOADED</x:v>
      </x:c>
      <x:c r="M35" s="26" t="str">
        <x:v>Projection-only v1.0</x:v>
      </x:c>
    </x:row>
    <x:row r="36">
      <x:c r="A36" s="26" t="n">
        <x:v>32</x:v>
      </x:c>
      <x:c r="B36" s="26" t="n">
        <x:v>3</x:v>
      </x:c>
      <x:c r="C36" s="26" t="n">
        <x:v>18</x:v>
      </x:c>
      <x:c r="D36" s="26" t="str">
        <x:v>Jeremiyah Love</x:v>
      </x:c>
      <x:c r="E36" s="26" t="str">
        <x:v>ARI</x:v>
      </x:c>
      <x:c r="F36" s="26" t="str">
        <x:v>RB</x:v>
      </x:c>
      <x:c r="G36" s="28" t="n">
        <x:v>201.4</x:v>
      </x:c>
      <x:c r="H36" s="28" t="n">
        <x:v>76.9</x:v>
      </x:c>
      <x:c r="I36" s="28" t="n">
        <x:v>0</x:v>
      </x:c>
      <x:c r="J36" s="28" t="n">
        <x:v>76.9</x:v>
      </x:c>
      <x:c r="K36" s="27"/>
      <x:c r="L36" s="31" t="str">
        <x:v>ADP NOT LOADED</x:v>
      </x:c>
      <x:c r="M36" s="26" t="str">
        <x:v>Projection-only v1.0</x:v>
      </x:c>
    </x:row>
    <x:row r="37">
      <x:c r="A37" s="26" t="n">
        <x:v>33</x:v>
      </x:c>
      <x:c r="B37" s="26" t="n">
        <x:v>3</x:v>
      </x:c>
      <x:c r="C37" s="26" t="n">
        <x:v>17</x:v>
      </x:c>
      <x:c r="D37" s="26" t="str">
        <x:v>Tee Higgins</x:v>
      </x:c>
      <x:c r="E37" s="26" t="str">
        <x:v>CIN</x:v>
      </x:c>
      <x:c r="F37" s="26" t="str">
        <x:v>WR</x:v>
      </x:c>
      <x:c r="G37" s="28" t="n">
        <x:v>184.7</x:v>
      </x:c>
      <x:c r="H37" s="28" t="n">
        <x:v>74.1</x:v>
      </x:c>
      <x:c r="I37" s="28" t="n">
        <x:v>0</x:v>
      </x:c>
      <x:c r="J37" s="28" t="n">
        <x:v>74.1</x:v>
      </x:c>
      <x:c r="K37" s="27"/>
      <x:c r="L37" s="31" t="str">
        <x:v>ADP NOT LOADED</x:v>
      </x:c>
      <x:c r="M37" s="26" t="str">
        <x:v>Projection-only v1.0</x:v>
      </x:c>
    </x:row>
    <x:row r="38">
      <x:c r="A38" s="26" t="n">
        <x:v>34</x:v>
      </x:c>
      <x:c r="B38" s="26" t="n">
        <x:v>3</x:v>
      </x:c>
      <x:c r="C38" s="26" t="n">
        <x:v>15</x:v>
      </x:c>
      <x:c r="D38" s="26" t="str">
        <x:v>DeVonta Smith</x:v>
      </x:c>
      <x:c r="E38" s="26" t="str">
        <x:v>PHI</x:v>
      </x:c>
      <x:c r="F38" s="26" t="str">
        <x:v>WR</x:v>
      </x:c>
      <x:c r="G38" s="28" t="n">
        <x:v>184.3</x:v>
      </x:c>
      <x:c r="H38" s="28" t="n">
        <x:v>73.70000000000002</x:v>
      </x:c>
      <x:c r="I38" s="28" t="n">
        <x:v>0</x:v>
      </x:c>
      <x:c r="J38" s="28" t="n">
        <x:v>73.70000000000002</x:v>
      </x:c>
      <x:c r="K38" s="27"/>
      <x:c r="L38" s="31" t="str">
        <x:v>ADP NOT LOADED</x:v>
      </x:c>
      <x:c r="M38" s="26" t="str">
        <x:v>Projection-only v1.0</x:v>
      </x:c>
    </x:row>
    <x:row r="39">
      <x:c r="A39" s="26" t="n">
        <x:v>35</x:v>
      </x:c>
      <x:c r="B39" s="26" t="n">
        <x:v>3</x:v>
      </x:c>
      <x:c r="C39" s="26" t="n">
        <x:v>1</x:v>
      </x:c>
      <x:c r="D39" s="26" t="str">
        <x:v>Josh Allen</x:v>
      </x:c>
      <x:c r="E39" s="26" t="str">
        <x:v>BUF</x:v>
      </x:c>
      <x:c r="F39" s="26" t="str">
        <x:v>QB</x:v>
      </x:c>
      <x:c r="G39" s="28" t="n">
        <x:v>361.1</x:v>
      </x:c>
      <x:c r="H39" s="28" t="n">
        <x:v>70.5</x:v>
      </x:c>
      <x:c r="I39" s="28" t="n">
        <x:v>0</x:v>
      </x:c>
      <x:c r="J39" s="28" t="n">
        <x:v>70.5</x:v>
      </x:c>
      <x:c r="K39" s="27"/>
      <x:c r="L39" s="31" t="str">
        <x:v>ADP NOT LOADED</x:v>
      </x:c>
      <x:c r="M39" s="26" t="str">
        <x:v>Projection-only v1.0</x:v>
      </x:c>
    </x:row>
    <x:row r="40">
      <x:c r="A40" s="26" t="n">
        <x:v>36</x:v>
      </x:c>
      <x:c r="B40" s="26" t="n">
        <x:v>3</x:v>
      </x:c>
      <x:c r="C40" s="26" t="n">
        <x:v>18</x:v>
      </x:c>
      <x:c r="D40" s="26" t="str">
        <x:v>Marvin Harrison Jr.</x:v>
      </x:c>
      <x:c r="E40" s="26" t="str">
        <x:v>ARI</x:v>
      </x:c>
      <x:c r="F40" s="26" t="str">
        <x:v>WR</x:v>
      </x:c>
      <x:c r="G40" s="28" t="n">
        <x:v>180.6</x:v>
      </x:c>
      <x:c r="H40" s="28" t="n">
        <x:v>70</x:v>
      </x:c>
      <x:c r="I40" s="28" t="n">
        <x:v>0</x:v>
      </x:c>
      <x:c r="J40" s="28" t="n">
        <x:v>70</x:v>
      </x:c>
      <x:c r="K40" s="27"/>
      <x:c r="L40" s="31" t="str">
        <x:v>ADP NOT LOADED</x:v>
      </x:c>
      <x:c r="M40" s="26" t="str">
        <x:v>Projection-only v1.0</x:v>
      </x:c>
    </x:row>
    <x:row r="41">
      <x:c r="A41" s="26" t="n">
        <x:v>37</x:v>
      </x:c>
      <x:c r="B41" s="26" t="n">
        <x:v>3</x:v>
      </x:c>
      <x:c r="C41" s="26" t="n">
        <x:v>16</x:v>
      </x:c>
      <x:c r="D41" s="26" t="str">
        <x:v>Garrett Wilson</x:v>
      </x:c>
      <x:c r="E41" s="26" t="str">
        <x:v>NYJ</x:v>
      </x:c>
      <x:c r="F41" s="26" t="str">
        <x:v>WR</x:v>
      </x:c>
      <x:c r="G41" s="28" t="n">
        <x:v>180.3</x:v>
      </x:c>
      <x:c r="H41" s="28" t="n">
        <x:v>69.70000000000002</x:v>
      </x:c>
      <x:c r="I41" s="28" t="n">
        <x:v>0</x:v>
      </x:c>
      <x:c r="J41" s="28" t="n">
        <x:v>69.70000000000002</x:v>
      </x:c>
      <x:c r="K41" s="27"/>
      <x:c r="L41" s="31" t="str">
        <x:v>ADP NOT LOADED</x:v>
      </x:c>
      <x:c r="M41" s="26" t="str">
        <x:v>Projection-only v1.0</x:v>
      </x:c>
    </x:row>
    <x:row r="42">
      <x:c r="A42" s="26" t="n">
        <x:v>38</x:v>
      </x:c>
      <x:c r="B42" s="26" t="n">
        <x:v>3</x:v>
      </x:c>
      <x:c r="C42" s="26" t="n">
        <x:v>19</x:v>
      </x:c>
      <x:c r="D42" s="26" t="str">
        <x:v>Tetairoa McMillan</x:v>
      </x:c>
      <x:c r="E42" s="26" t="str">
        <x:v>CAR</x:v>
      </x:c>
      <x:c r="F42" s="26" t="str">
        <x:v>WR</x:v>
      </x:c>
      <x:c r="G42" s="28" t="n">
        <x:v>178.8</x:v>
      </x:c>
      <x:c r="H42" s="28" t="n">
        <x:v>68.20000000000002</x:v>
      </x:c>
      <x:c r="I42" s="28" t="n">
        <x:v>0</x:v>
      </x:c>
      <x:c r="J42" s="28" t="n">
        <x:v>68.20000000000002</x:v>
      </x:c>
      <x:c r="K42" s="27"/>
      <x:c r="L42" s="31" t="str">
        <x:v>ADP NOT LOADED</x:v>
      </x:c>
      <x:c r="M42" s="26" t="str">
        <x:v>Projection-only v1.0</x:v>
      </x:c>
    </x:row>
    <x:row r="43">
      <x:c r="A43" s="26" t="n">
        <x:v>39</x:v>
      </x:c>
      <x:c r="B43" s="26" t="n">
        <x:v>3</x:v>
      </x:c>
      <x:c r="C43" s="26" t="n">
        <x:v>21</x:v>
      </x:c>
      <x:c r="D43" s="26" t="str">
        <x:v>David Montgomery</x:v>
      </x:c>
      <x:c r="E43" s="26" t="str">
        <x:v>HOU</x:v>
      </x:c>
      <x:c r="F43" s="26" t="str">
        <x:v>RB</x:v>
      </x:c>
      <x:c r="G43" s="28" t="n">
        <x:v>191.4</x:v>
      </x:c>
      <x:c r="H43" s="28" t="n">
        <x:v>66.9</x:v>
      </x:c>
      <x:c r="I43" s="28" t="n">
        <x:v>0</x:v>
      </x:c>
      <x:c r="J43" s="28" t="n">
        <x:v>66.9</x:v>
      </x:c>
      <x:c r="K43" s="27"/>
      <x:c r="L43" s="31" t="str">
        <x:v>ADP NOT LOADED</x:v>
      </x:c>
      <x:c r="M43" s="26" t="str">
        <x:v>Projection-only v1.0</x:v>
      </x:c>
    </x:row>
    <x:row r="44">
      <x:c r="A44" s="26" t="n">
        <x:v>40</x:v>
      </x:c>
      <x:c r="B44" s="26" t="n">
        <x:v>3</x:v>
      </x:c>
      <x:c r="C44" s="26" t="n">
        <x:v>20</x:v>
      </x:c>
      <x:c r="D44" s="26" t="str">
        <x:v>Emeka Egbuka</x:v>
      </x:c>
      <x:c r="E44" s="26" t="str">
        <x:v>TB</x:v>
      </x:c>
      <x:c r="F44" s="26" t="str">
        <x:v>WR</x:v>
      </x:c>
      <x:c r="G44" s="28" t="n">
        <x:v>177.5</x:v>
      </x:c>
      <x:c r="H44" s="28" t="n">
        <x:v>66.9</x:v>
      </x:c>
      <x:c r="I44" s="28" t="n">
        <x:v>0</x:v>
      </x:c>
      <x:c r="J44" s="28" t="n">
        <x:v>66.9</x:v>
      </x:c>
      <x:c r="K44" s="27"/>
      <x:c r="L44" s="31" t="str">
        <x:v>ADP NOT LOADED</x:v>
      </x:c>
      <x:c r="M44" s="26" t="str">
        <x:v>Projection-only v1.0</x:v>
      </x:c>
    </x:row>
    <x:row r="45">
      <x:c r="A45" s="26" t="n">
        <x:v>41</x:v>
      </x:c>
      <x:c r="B45" s="26" t="n">
        <x:v>3</x:v>
      </x:c>
      <x:c r="C45" s="26" t="n">
        <x:v>19</x:v>
      </x:c>
      <x:c r="D45" s="26" t="str">
        <x:v>Bucky Irving</x:v>
      </x:c>
      <x:c r="E45" s="26" t="str">
        <x:v>TB</x:v>
      </x:c>
      <x:c r="F45" s="26" t="str">
        <x:v>RB</x:v>
      </x:c>
      <x:c r="G45" s="28" t="n">
        <x:v>190.9</x:v>
      </x:c>
      <x:c r="H45" s="28" t="n">
        <x:v>66.4</x:v>
      </x:c>
      <x:c r="I45" s="28" t="n">
        <x:v>0</x:v>
      </x:c>
      <x:c r="J45" s="28" t="n">
        <x:v>66.4</x:v>
      </x:c>
      <x:c r="K45" s="27"/>
      <x:c r="L45" s="31" t="str">
        <x:v>ADP NOT LOADED</x:v>
      </x:c>
      <x:c r="M45" s="26" t="str">
        <x:v>Projection-only v1.0</x:v>
      </x:c>
    </x:row>
    <x:row r="46">
      <x:c r="A46" s="26" t="n">
        <x:v>42</x:v>
      </x:c>
      <x:c r="B46" s="26" t="n">
        <x:v>3</x:v>
      </x:c>
      <x:c r="C46" s="26" t="n">
        <x:v>22</x:v>
      </x:c>
      <x:c r="D46" s="26" t="str">
        <x:v>DJ Moore</x:v>
      </x:c>
      <x:c r="E46" s="26" t="str">
        <x:v>BUF</x:v>
      </x:c>
      <x:c r="F46" s="26" t="str">
        <x:v>WR</x:v>
      </x:c>
      <x:c r="G46" s="28" t="n">
        <x:v>173.8</x:v>
      </x:c>
      <x:c r="H46" s="28" t="n">
        <x:v>63.20000000000002</x:v>
      </x:c>
      <x:c r="I46" s="28" t="n">
        <x:v>0</x:v>
      </x:c>
      <x:c r="J46" s="28" t="n">
        <x:v>63.20000000000002</x:v>
      </x:c>
      <x:c r="K46" s="27"/>
      <x:c r="L46" s="31" t="str">
        <x:v>ADP NOT LOADED</x:v>
      </x:c>
      <x:c r="M46" s="26" t="str">
        <x:v>Projection-only v1.0</x:v>
      </x:c>
    </x:row>
    <x:row r="47">
      <x:c r="A47" s="26" t="n">
        <x:v>43</x:v>
      </x:c>
      <x:c r="B47" s="26" t="n">
        <x:v>3</x:v>
      </x:c>
      <x:c r="C47" s="26" t="n">
        <x:v>21</x:v>
      </x:c>
      <x:c r="D47" s="26" t="str">
        <x:v>Luther Burden III</x:v>
      </x:c>
      <x:c r="E47" s="26" t="str">
        <x:v>CHI</x:v>
      </x:c>
      <x:c r="F47" s="26" t="str">
        <x:v>WR</x:v>
      </x:c>
      <x:c r="G47" s="28" t="n">
        <x:v>173.4</x:v>
      </x:c>
      <x:c r="H47" s="28" t="n">
        <x:v>62.80000000000001</x:v>
      </x:c>
      <x:c r="I47" s="28" t="n">
        <x:v>0</x:v>
      </x:c>
      <x:c r="J47" s="28" t="n">
        <x:v>62.80000000000001</x:v>
      </x:c>
      <x:c r="K47" s="27"/>
      <x:c r="L47" s="31" t="str">
        <x:v>ADP NOT LOADED</x:v>
      </x:c>
      <x:c r="M47" s="26" t="str">
        <x:v>Projection-only v1.0</x:v>
      </x:c>
    </x:row>
    <x:row r="48">
      <x:c r="A48" s="26" t="n">
        <x:v>44</x:v>
      </x:c>
      <x:c r="B48" s="26" t="n">
        <x:v>3</x:v>
      </x:c>
      <x:c r="C48" s="26" t="n">
        <x:v>20</x:v>
      </x:c>
      <x:c r="D48" s="26" t="str">
        <x:v>TreVeyon Henderson</x:v>
      </x:c>
      <x:c r="E48" s="26" t="str">
        <x:v>NE</x:v>
      </x:c>
      <x:c r="F48" s="26" t="str">
        <x:v>RB</x:v>
      </x:c>
      <x:c r="G48" s="28" t="n">
        <x:v>186.2</x:v>
      </x:c>
      <x:c r="H48" s="28" t="n">
        <x:v>61.69999999999999</x:v>
      </x:c>
      <x:c r="I48" s="28" t="n">
        <x:v>0</x:v>
      </x:c>
      <x:c r="J48" s="28" t="n">
        <x:v>61.69999999999999</x:v>
      </x:c>
      <x:c r="K48" s="27"/>
      <x:c r="L48" s="31" t="str">
        <x:v>ADP NOT LOADED</x:v>
      </x:c>
      <x:c r="M48" s="26" t="str">
        <x:v>Projection-only v1.0</x:v>
      </x:c>
    </x:row>
    <x:row r="49">
      <x:c r="A49" s="26" t="n">
        <x:v>45</x:v>
      </x:c>
      <x:c r="B49" s="26" t="n">
        <x:v>3</x:v>
      </x:c>
      <x:c r="C49" s="26" t="n">
        <x:v>25</x:v>
      </x:c>
      <x:c r="D49" s="26" t="str">
        <x:v>Jameson Williams</x:v>
      </x:c>
      <x:c r="E49" s="26" t="str">
        <x:v>DET</x:v>
      </x:c>
      <x:c r="F49" s="26" t="str">
        <x:v>WR</x:v>
      </x:c>
      <x:c r="G49" s="28" t="n">
        <x:v>172.2</x:v>
      </x:c>
      <x:c r="H49" s="28" t="n">
        <x:v>61.599999999999994</x:v>
      </x:c>
      <x:c r="I49" s="28" t="n">
        <x:v>0</x:v>
      </x:c>
      <x:c r="J49" s="28" t="n">
        <x:v>61.599999999999994</x:v>
      </x:c>
      <x:c r="K49" s="27"/>
      <x:c r="L49" s="31" t="str">
        <x:v>ADP NOT LOADED</x:v>
      </x:c>
      <x:c r="M49" s="26" t="str">
        <x:v>Projection-only v1.0</x:v>
      </x:c>
    </x:row>
    <x:row r="50">
      <x:c r="A50" s="26" t="n">
        <x:v>46</x:v>
      </x:c>
      <x:c r="B50" s="26" t="n">
        <x:v>3</x:v>
      </x:c>
      <x:c r="C50" s="26" t="n">
        <x:v>23</x:v>
      </x:c>
      <x:c r="D50" s="26" t="str">
        <x:v>Terry McLaurin</x:v>
      </x:c>
      <x:c r="E50" s="26" t="str">
        <x:v>WAS</x:v>
      </x:c>
      <x:c r="F50" s="26" t="str">
        <x:v>WR</x:v>
      </x:c>
      <x:c r="G50" s="28" t="n">
        <x:v>170.2</x:v>
      </x:c>
      <x:c r="H50" s="28" t="n">
        <x:v>59.599999999999994</x:v>
      </x:c>
      <x:c r="I50" s="28" t="n">
        <x:v>0</x:v>
      </x:c>
      <x:c r="J50" s="28" t="n">
        <x:v>59.599999999999994</x:v>
      </x:c>
      <x:c r="K50" s="27"/>
      <x:c r="L50" s="31" t="str">
        <x:v>ADP NOT LOADED</x:v>
      </x:c>
      <x:c r="M50" s="26" t="str">
        <x:v>Projection-only v1.0</x:v>
      </x:c>
    </x:row>
    <x:row r="51">
      <x:c r="A51" s="26" t="n">
        <x:v>47</x:v>
      </x:c>
      <x:c r="B51" s="26" t="n">
        <x:v>3</x:v>
      </x:c>
      <x:c r="C51" s="26" t="n">
        <x:v>23</x:v>
      </x:c>
      <x:c r="D51" s="26" t="str">
        <x:v>Quinshon Judkins</x:v>
      </x:c>
      <x:c r="E51" s="26" t="str">
        <x:v>CLE</x:v>
      </x:c>
      <x:c r="F51" s="26" t="str">
        <x:v>RB</x:v>
      </x:c>
      <x:c r="G51" s="28" t="n">
        <x:v>184</x:v>
      </x:c>
      <x:c r="H51" s="28" t="n">
        <x:v>59.5</x:v>
      </x:c>
      <x:c r="I51" s="28" t="n">
        <x:v>0</x:v>
      </x:c>
      <x:c r="J51" s="28" t="n">
        <x:v>59.5</x:v>
      </x:c>
      <x:c r="K51" s="27"/>
      <x:c r="L51" s="31" t="str">
        <x:v>ADP NOT LOADED</x:v>
      </x:c>
      <x:c r="M51" s="26" t="str">
        <x:v>Projection-only v1.0</x:v>
      </x:c>
    </x:row>
    <x:row r="52">
      <x:c r="A52" s="26" t="n">
        <x:v>48</x:v>
      </x:c>
      <x:c r="B52" s="26" t="n">
        <x:v>3</x:v>
      </x:c>
      <x:c r="C52" s="26" t="n">
        <x:v>1</x:v>
      </x:c>
      <x:c r="D52" s="26" t="str">
        <x:v>Trey McBride</x:v>
      </x:c>
      <x:c r="E52" s="26" t="str">
        <x:v>ARI</x:v>
      </x:c>
      <x:c r="F52" s="26" t="str">
        <x:v>TE</x:v>
      </x:c>
      <x:c r="G52" s="28" t="n">
        <x:v>202.7</x:v>
      </x:c>
      <x:c r="H52" s="28" t="n">
        <x:v>59.39999999999998</x:v>
      </x:c>
      <x:c r="I52" s="28" t="n">
        <x:v>0</x:v>
      </x:c>
      <x:c r="J52" s="28" t="n">
        <x:v>59.39999999999998</x:v>
      </x:c>
      <x:c r="K52" s="27"/>
      <x:c r="L52" s="31" t="str">
        <x:v>ADP NOT LOADED</x:v>
      </x:c>
      <x:c r="M52" s="26" t="str">
        <x:v>Projection-only v1.0</x:v>
      </x:c>
    </x:row>
    <x:row r="53">
      <x:c r="A53" s="26" t="n">
        <x:v>49</x:v>
      </x:c>
      <x:c r="B53" s="26" t="n">
        <x:v>4</x:v>
      </x:c>
      <x:c r="C53" s="26" t="n">
        <x:v>22</x:v>
      </x:c>
      <x:c r="D53" s="26" t="str">
        <x:v>Travis Etienne Jr.</x:v>
      </x:c>
      <x:c r="E53" s="26" t="str">
        <x:v>NO</x:v>
      </x:c>
      <x:c r="F53" s="26" t="str">
        <x:v>RB</x:v>
      </x:c>
      <x:c r="G53" s="28" t="n">
        <x:v>183.5</x:v>
      </x:c>
      <x:c r="H53" s="28" t="n">
        <x:v>59</x:v>
      </x:c>
      <x:c r="I53" s="28" t="n">
        <x:v>0</x:v>
      </x:c>
      <x:c r="J53" s="28" t="n">
        <x:v>59</x:v>
      </x:c>
      <x:c r="K53" s="27"/>
      <x:c r="L53" s="31" t="str">
        <x:v>ADP NOT LOADED</x:v>
      </x:c>
      <x:c r="M53" s="26" t="str">
        <x:v>Projection-only v1.0</x:v>
      </x:c>
    </x:row>
    <x:row r="54">
      <x:c r="A54" s="26" t="n">
        <x:v>50</x:v>
      </x:c>
      <x:c r="B54" s="26" t="n">
        <x:v>4</x:v>
      </x:c>
      <x:c r="C54" s="26" t="n">
        <x:v>27</x:v>
      </x:c>
      <x:c r="D54" s="26" t="str">
        <x:v>Mike Evans</x:v>
      </x:c>
      <x:c r="E54" s="26" t="str">
        <x:v>SF</x:v>
      </x:c>
      <x:c r="F54" s="26" t="str">
        <x:v>WR</x:v>
      </x:c>
      <x:c r="G54" s="28" t="n">
        <x:v>168.8</x:v>
      </x:c>
      <x:c r="H54" s="28" t="n">
        <x:v>58.20000000000002</x:v>
      </x:c>
      <x:c r="I54" s="28" t="n">
        <x:v>0</x:v>
      </x:c>
      <x:c r="J54" s="28" t="n">
        <x:v>58.20000000000002</x:v>
      </x:c>
      <x:c r="K54" s="27"/>
      <x:c r="L54" s="31" t="str">
        <x:v>ADP NOT LOADED</x:v>
      </x:c>
      <x:c r="M54" s="26" t="str">
        <x:v>Projection-only v1.0</x:v>
      </x:c>
    </x:row>
    <x:row r="55">
      <x:c r="A55" s="26" t="n">
        <x:v>51</x:v>
      </x:c>
      <x:c r="B55" s="26" t="n">
        <x:v>4</x:v>
      </x:c>
      <x:c r="C55" s="26" t="n">
        <x:v>24</x:v>
      </x:c>
      <x:c r="D55" s="26" t="str">
        <x:v>Malik Nabers</x:v>
      </x:c>
      <x:c r="E55" s="26" t="str">
        <x:v>NYG</x:v>
      </x:c>
      <x:c r="F55" s="26" t="str">
        <x:v>WR</x:v>
      </x:c>
      <x:c r="G55" s="28" t="n">
        <x:v>167.1</x:v>
      </x:c>
      <x:c r="H55" s="28" t="n">
        <x:v>56.5</x:v>
      </x:c>
      <x:c r="I55" s="28" t="n">
        <x:v>0</x:v>
      </x:c>
      <x:c r="J55" s="28" t="n">
        <x:v>56.5</x:v>
      </x:c>
      <x:c r="K55" s="27"/>
      <x:c r="L55" s="31" t="str">
        <x:v>ADP NOT LOADED</x:v>
      </x:c>
      <x:c r="M55" s="26" t="str">
        <x:v>Projection-only v1.0</x:v>
      </x:c>
    </x:row>
    <x:row r="56">
      <x:c r="A56" s="26" t="n">
        <x:v>52</x:v>
      </x:c>
      <x:c r="B56" s="26" t="n">
        <x:v>4</x:v>
      </x:c>
      <x:c r="C56" s="26" t="n">
        <x:v>26</x:v>
      </x:c>
      <x:c r="D56" s="26" t="str">
        <x:v>Jaylen Waddle</x:v>
      </x:c>
      <x:c r="E56" s="26" t="str">
        <x:v>DEN</x:v>
      </x:c>
      <x:c r="F56" s="26" t="str">
        <x:v>WR</x:v>
      </x:c>
      <x:c r="G56" s="28" t="n">
        <x:v>166.4</x:v>
      </x:c>
      <x:c r="H56" s="28" t="n">
        <x:v>55.80000000000001</x:v>
      </x:c>
      <x:c r="I56" s="28" t="n">
        <x:v>0</x:v>
      </x:c>
      <x:c r="J56" s="28" t="n">
        <x:v>55.80000000000001</x:v>
      </x:c>
      <x:c r="K56" s="27"/>
      <x:c r="L56" s="31" t="str">
        <x:v>ADP NOT LOADED</x:v>
      </x:c>
      <x:c r="M56" s="26" t="str">
        <x:v>Projection-only v1.0</x:v>
      </x:c>
    </x:row>
    <x:row r="57">
      <x:c r="A57" s="26" t="n">
        <x:v>53</x:v>
      </x:c>
      <x:c r="B57" s="26" t="n">
        <x:v>4</x:v>
      </x:c>
      <x:c r="C57" s="26" t="n">
        <x:v>2</x:v>
      </x:c>
      <x:c r="D57" s="26" t="str">
        <x:v>Brock Bowers</x:v>
      </x:c>
      <x:c r="E57" s="26" t="str">
        <x:v>LV</x:v>
      </x:c>
      <x:c r="F57" s="26" t="str">
        <x:v>TE</x:v>
      </x:c>
      <x:c r="G57" s="28" t="n">
        <x:v>196</x:v>
      </x:c>
      <x:c r="H57" s="28" t="n">
        <x:v>52.69999999999999</x:v>
      </x:c>
      <x:c r="I57" s="28" t="n">
        <x:v>0</x:v>
      </x:c>
      <x:c r="J57" s="28" t="n">
        <x:v>52.69999999999999</x:v>
      </x:c>
      <x:c r="K57" s="27"/>
      <x:c r="L57" s="31" t="str">
        <x:v>ADP NOT LOADED</x:v>
      </x:c>
      <x:c r="M57" s="26" t="str">
        <x:v>Projection-only v1.0</x:v>
      </x:c>
    </x:row>
    <x:row r="58">
      <x:c r="A58" s="26" t="n">
        <x:v>54</x:v>
      </x:c>
      <x:c r="B58" s="26" t="n">
        <x:v>4</x:v>
      </x:c>
      <x:c r="C58" s="26" t="n">
        <x:v>29</x:v>
      </x:c>
      <x:c r="D58" s="26" t="str">
        <x:v>Courtland Sutton</x:v>
      </x:c>
      <x:c r="E58" s="26" t="str">
        <x:v>DEN</x:v>
      </x:c>
      <x:c r="F58" s="26" t="str">
        <x:v>WR</x:v>
      </x:c>
      <x:c r="G58" s="28" t="n">
        <x:v>163</x:v>
      </x:c>
      <x:c r="H58" s="28" t="n">
        <x:v>52.400000000000006</x:v>
      </x:c>
      <x:c r="I58" s="28" t="n">
        <x:v>0</x:v>
      </x:c>
      <x:c r="J58" s="28" t="n">
        <x:v>52.400000000000006</x:v>
      </x:c>
      <x:c r="K58" s="27"/>
      <x:c r="L58" s="31" t="str">
        <x:v>ADP NOT LOADED</x:v>
      </x:c>
      <x:c r="M58" s="26" t="str">
        <x:v>Projection-only v1.0</x:v>
      </x:c>
    </x:row>
    <x:row r="59">
      <x:c r="A59" s="26" t="n">
        <x:v>55</x:v>
      </x:c>
      <x:c r="B59" s="26" t="n">
        <x:v>4</x:v>
      </x:c>
      <x:c r="C59" s="26" t="n">
        <x:v>28</x:v>
      </x:c>
      <x:c r="D59" s="26" t="str">
        <x:v>Ladd McConkey</x:v>
      </x:c>
      <x:c r="E59" s="26" t="str">
        <x:v>LAC</x:v>
      </x:c>
      <x:c r="F59" s="26" t="str">
        <x:v>WR</x:v>
      </x:c>
      <x:c r="G59" s="28" t="n">
        <x:v>162</x:v>
      </x:c>
      <x:c r="H59" s="28" t="n">
        <x:v>51.400000000000006</x:v>
      </x:c>
      <x:c r="I59" s="28" t="n">
        <x:v>0</x:v>
      </x:c>
      <x:c r="J59" s="28" t="n">
        <x:v>51.400000000000006</x:v>
      </x:c>
      <x:c r="K59" s="27"/>
      <x:c r="L59" s="31" t="str">
        <x:v>ADP NOT LOADED</x:v>
      </x:c>
      <x:c r="M59" s="26" t="str">
        <x:v>Projection-only v1.0</x:v>
      </x:c>
    </x:row>
    <x:row r="60">
      <x:c r="A60" s="26" t="n">
        <x:v>56</x:v>
      </x:c>
      <x:c r="B60" s="26" t="n">
        <x:v>4</x:v>
      </x:c>
      <x:c r="C60" s="26" t="n">
        <x:v>31</x:v>
      </x:c>
      <x:c r="D60" s="26" t="str">
        <x:v>Davante Adams</x:v>
      </x:c>
      <x:c r="E60" s="26" t="str">
        <x:v>LAR</x:v>
      </x:c>
      <x:c r="F60" s="26" t="str">
        <x:v>WR</x:v>
      </x:c>
      <x:c r="G60" s="28" t="n">
        <x:v>161.3</x:v>
      </x:c>
      <x:c r="H60" s="28" t="n">
        <x:v>50.70000000000002</x:v>
      </x:c>
      <x:c r="I60" s="28" t="n">
        <x:v>0</x:v>
      </x:c>
      <x:c r="J60" s="28" t="n">
        <x:v>50.70000000000002</x:v>
      </x:c>
      <x:c r="K60" s="27"/>
      <x:c r="L60" s="31" t="str">
        <x:v>ADP NOT LOADED</x:v>
      </x:c>
      <x:c r="M60" s="26" t="str">
        <x:v>Projection-only v1.0</x:v>
      </x:c>
    </x:row>
    <x:row r="61">
      <x:c r="A61" s="26" t="n">
        <x:v>57</x:v>
      </x:c>
      <x:c r="B61" s="26" t="n">
        <x:v>4</x:v>
      </x:c>
      <x:c r="C61" s="26" t="n">
        <x:v>25</x:v>
      </x:c>
      <x:c r="D61" s="26" t="str">
        <x:v>Bhayshul Tuten</x:v>
      </x:c>
      <x:c r="E61" s="26" t="str">
        <x:v>JAX</x:v>
      </x:c>
      <x:c r="F61" s="26" t="str">
        <x:v>RB</x:v>
      </x:c>
      <x:c r="G61" s="28" t="n">
        <x:v>172.2</x:v>
      </x:c>
      <x:c r="H61" s="28" t="n">
        <x:v>47.69999999999999</x:v>
      </x:c>
      <x:c r="I61" s="28" t="n">
        <x:v>0</x:v>
      </x:c>
      <x:c r="J61" s="28" t="n">
        <x:v>47.69999999999999</x:v>
      </x:c>
      <x:c r="K61" s="27"/>
      <x:c r="L61" s="31" t="str">
        <x:v>ADP NOT LOADED</x:v>
      </x:c>
      <x:c r="M61" s="26" t="str">
        <x:v>Projection-only v1.0</x:v>
      </x:c>
    </x:row>
    <x:row r="62">
      <x:c r="A62" s="26" t="n">
        <x:v>58</x:v>
      </x:c>
      <x:c r="B62" s="26" t="n">
        <x:v>4</x:v>
      </x:c>
      <x:c r="C62" s="26" t="n">
        <x:v>32</x:v>
      </x:c>
      <x:c r="D62" s="26" t="str">
        <x:v>DK Metcalf</x:v>
      </x:c>
      <x:c r="E62" s="26" t="str">
        <x:v>PIT</x:v>
      </x:c>
      <x:c r="F62" s="26" t="str">
        <x:v>WR</x:v>
      </x:c>
      <x:c r="G62" s="28" t="n">
        <x:v>158.2</x:v>
      </x:c>
      <x:c r="H62" s="28" t="n">
        <x:v>47.599999999999994</x:v>
      </x:c>
      <x:c r="I62" s="28" t="n">
        <x:v>0</x:v>
      </x:c>
      <x:c r="J62" s="28" t="n">
        <x:v>47.599999999999994</x:v>
      </x:c>
      <x:c r="K62" s="27"/>
      <x:c r="L62" s="31" t="str">
        <x:v>ADP NOT LOADED</x:v>
      </x:c>
      <x:c r="M62" s="26" t="str">
        <x:v>Projection-only v1.0</x:v>
      </x:c>
    </x:row>
    <x:row r="63">
      <x:c r="A63" s="26" t="n">
        <x:v>59</x:v>
      </x:c>
      <x:c r="B63" s="26" t="n">
        <x:v>4</x:v>
      </x:c>
      <x:c r="C63" s="26" t="n">
        <x:v>24</x:v>
      </x:c>
      <x:c r="D63" s="26" t="str">
        <x:v>Jaylen Warren</x:v>
      </x:c>
      <x:c r="E63" s="26" t="str">
        <x:v>PIT</x:v>
      </x:c>
      <x:c r="F63" s="26" t="str">
        <x:v>RB</x:v>
      </x:c>
      <x:c r="G63" s="28" t="n">
        <x:v>171.5</x:v>
      </x:c>
      <x:c r="H63" s="28" t="n">
        <x:v>47</x:v>
      </x:c>
      <x:c r="I63" s="28" t="n">
        <x:v>0</x:v>
      </x:c>
      <x:c r="J63" s="28" t="n">
        <x:v>47</x:v>
      </x:c>
      <x:c r="K63" s="27"/>
      <x:c r="L63" s="31" t="str">
        <x:v>ADP NOT LOADED</x:v>
      </x:c>
      <x:c r="M63" s="26" t="str">
        <x:v>Projection-only v1.0</x:v>
      </x:c>
    </x:row>
    <x:row r="64">
      <x:c r="A64" s="26" t="n">
        <x:v>60</x:v>
      </x:c>
      <x:c r="B64" s="26" t="n">
        <x:v>4</x:v>
      </x:c>
      <x:c r="C64" s="26" t="n">
        <x:v>33</x:v>
      </x:c>
      <x:c r="D64" s="26" t="str">
        <x:v>Christian Watson</x:v>
      </x:c>
      <x:c r="E64" s="26" t="str">
        <x:v>GB</x:v>
      </x:c>
      <x:c r="F64" s="26" t="str">
        <x:v>WR</x:v>
      </x:c>
      <x:c r="G64" s="28" t="n">
        <x:v>155.6</x:v>
      </x:c>
      <x:c r="H64" s="28" t="n">
        <x:v>45</x:v>
      </x:c>
      <x:c r="I64" s="28" t="n">
        <x:v>0</x:v>
      </x:c>
      <x:c r="J64" s="28" t="n">
        <x:v>45</x:v>
      </x:c>
      <x:c r="K64" s="27"/>
      <x:c r="L64" s="31" t="str">
        <x:v>ADP NOT LOADED</x:v>
      </x:c>
      <x:c r="M64" s="26" t="str">
        <x:v>Projection-only v1.0</x:v>
      </x:c>
    </x:row>
    <x:row r="65">
      <x:c r="A65" s="26" t="n">
        <x:v>61</x:v>
      </x:c>
      <x:c r="B65" s="26" t="n">
        <x:v>4</x:v>
      </x:c>
      <x:c r="C65" s="26" t="n">
        <x:v>30</x:v>
      </x:c>
      <x:c r="D65" s="26" t="str">
        <x:v>Wan'Dale Robinson</x:v>
      </x:c>
      <x:c r="E65" s="26" t="str">
        <x:v>TEN</x:v>
      </x:c>
      <x:c r="F65" s="26" t="str">
        <x:v>WR</x:v>
      </x:c>
      <x:c r="G65" s="28" t="n">
        <x:v>152.9</x:v>
      </x:c>
      <x:c r="H65" s="28" t="n">
        <x:v>42.30000000000001</x:v>
      </x:c>
      <x:c r="I65" s="28" t="n">
        <x:v>0</x:v>
      </x:c>
      <x:c r="J65" s="28" t="n">
        <x:v>42.30000000000001</x:v>
      </x:c>
      <x:c r="K65" s="27"/>
      <x:c r="L65" s="31" t="str">
        <x:v>ADP NOT LOADED</x:v>
      </x:c>
      <x:c r="M65" s="26" t="str">
        <x:v>Projection-only v1.0</x:v>
      </x:c>
    </x:row>
    <x:row r="66">
      <x:c r="A66" s="26" t="n">
        <x:v>62</x:v>
      </x:c>
      <x:c r="B66" s="26" t="n">
        <x:v>4</x:v>
      </x:c>
      <x:c r="C66" s="26" t="n">
        <x:v>26</x:v>
      </x:c>
      <x:c r="D66" s="26" t="str">
        <x:v>Cam Skattebo</x:v>
      </x:c>
      <x:c r="E66" s="26" t="str">
        <x:v>NYG</x:v>
      </x:c>
      <x:c r="F66" s="26" t="str">
        <x:v>RB</x:v>
      </x:c>
      <x:c r="G66" s="28" t="n">
        <x:v>166.2</x:v>
      </x:c>
      <x:c r="H66" s="28" t="n">
        <x:v>41.69999999999999</x:v>
      </x:c>
      <x:c r="I66" s="28" t="n">
        <x:v>0</x:v>
      </x:c>
      <x:c r="J66" s="28" t="n">
        <x:v>41.69999999999999</x:v>
      </x:c>
      <x:c r="K66" s="27"/>
      <x:c r="L66" s="31" t="str">
        <x:v>ADP NOT LOADED</x:v>
      </x:c>
      <x:c r="M66" s="26" t="str">
        <x:v>Projection-only v1.0</x:v>
      </x:c>
    </x:row>
    <x:row r="67">
      <x:c r="A67" s="26" t="n">
        <x:v>63</x:v>
      </x:c>
      <x:c r="B67" s="26" t="n">
        <x:v>4</x:v>
      </x:c>
      <x:c r="C67" s="26" t="n">
        <x:v>36</x:v>
      </x:c>
      <x:c r="D67" s="26" t="str">
        <x:v>Parker Washington</x:v>
      </x:c>
      <x:c r="E67" s="26" t="str">
        <x:v>JAX</x:v>
      </x:c>
      <x:c r="F67" s="26" t="str">
        <x:v>WR</x:v>
      </x:c>
      <x:c r="G67" s="28" t="n">
        <x:v>147.6</x:v>
      </x:c>
      <x:c r="H67" s="28" t="n">
        <x:v>37</x:v>
      </x:c>
      <x:c r="I67" s="28" t="n">
        <x:v>0</x:v>
      </x:c>
      <x:c r="J67" s="28" t="n">
        <x:v>37</x:v>
      </x:c>
      <x:c r="K67" s="27"/>
      <x:c r="L67" s="31" t="str">
        <x:v>ADP NOT LOADED</x:v>
      </x:c>
      <x:c r="M67" s="26" t="str">
        <x:v>Projection-only v1.0</x:v>
      </x:c>
    </x:row>
    <x:row r="68">
      <x:c r="A68" s="26" t="n">
        <x:v>64</x:v>
      </x:c>
      <x:c r="B68" s="26" t="n">
        <x:v>4</x:v>
      </x:c>
      <x:c r="C68" s="26" t="n">
        <x:v>34</x:v>
      </x:c>
      <x:c r="D68" s="26" t="str">
        <x:v>Michael Wilson</x:v>
      </x:c>
      <x:c r="E68" s="26" t="str">
        <x:v>ARI</x:v>
      </x:c>
      <x:c r="F68" s="26" t="str">
        <x:v>WR</x:v>
      </x:c>
      <x:c r="G68" s="28" t="n">
        <x:v>147.3</x:v>
      </x:c>
      <x:c r="H68" s="28" t="n">
        <x:v>36.70000000000002</x:v>
      </x:c>
      <x:c r="I68" s="28" t="n">
        <x:v>0</x:v>
      </x:c>
      <x:c r="J68" s="28" t="n">
        <x:v>36.70000000000002</x:v>
      </x:c>
      <x:c r="K68" s="27"/>
      <x:c r="L68" s="31" t="str">
        <x:v>ADP NOT LOADED</x:v>
      </x:c>
      <x:c r="M68" s="26" t="str">
        <x:v>Projection-only v1.0</x:v>
      </x:c>
    </x:row>
    <x:row r="69">
      <x:c r="A69" s="26" t="n">
        <x:v>65</x:v>
      </x:c>
      <x:c r="B69" s="26" t="n">
        <x:v>4</x:v>
      </x:c>
      <x:c r="C69" s="26" t="n">
        <x:v>37</x:v>
      </x:c>
      <x:c r="D69" s="26" t="str">
        <x:v>Brian Thomas Jr.</x:v>
      </x:c>
      <x:c r="E69" s="26" t="str">
        <x:v>JAX</x:v>
      </x:c>
      <x:c r="F69" s="26" t="str">
        <x:v>WR</x:v>
      </x:c>
      <x:c r="G69" s="28" t="n">
        <x:v>145.4</x:v>
      </x:c>
      <x:c r="H69" s="28" t="n">
        <x:v>34.80000000000001</x:v>
      </x:c>
      <x:c r="I69" s="28" t="n">
        <x:v>0</x:v>
      </x:c>
      <x:c r="J69" s="28" t="n">
        <x:v>34.80000000000001</x:v>
      </x:c>
      <x:c r="K69" s="27"/>
      <x:c r="L69" s="31" t="str">
        <x:v>ADP NOT LOADED</x:v>
      </x:c>
      <x:c r="M69" s="26" t="str">
        <x:v>Projection-only v1.0</x:v>
      </x:c>
    </x:row>
    <x:row r="70">
      <x:c r="A70" s="26" t="n">
        <x:v>66</x:v>
      </x:c>
      <x:c r="B70" s="26" t="n">
        <x:v>4</x:v>
      </x:c>
      <x:c r="C70" s="26" t="n">
        <x:v>27</x:v>
      </x:c>
      <x:c r="D70" s="26" t="str">
        <x:v>Jadarian Price</x:v>
      </x:c>
      <x:c r="E70" s="26" t="str">
        <x:v>SEA</x:v>
      </x:c>
      <x:c r="F70" s="26" t="str">
        <x:v>RB</x:v>
      </x:c>
      <x:c r="G70" s="28" t="n">
        <x:v>158.3</x:v>
      </x:c>
      <x:c r="H70" s="28" t="n">
        <x:v>33.80000000000001</x:v>
      </x:c>
      <x:c r="I70" s="28" t="n">
        <x:v>0</x:v>
      </x:c>
      <x:c r="J70" s="28" t="n">
        <x:v>33.80000000000001</x:v>
      </x:c>
      <x:c r="K70" s="27"/>
      <x:c r="L70" s="31" t="str">
        <x:v>ADP NOT LOADED</x:v>
      </x:c>
      <x:c r="M70" s="26" t="str">
        <x:v>Projection-only v1.0</x:v>
      </x:c>
    </x:row>
    <x:row r="71">
      <x:c r="A71" s="26" t="n">
        <x:v>67</x:v>
      </x:c>
      <x:c r="B71" s="26" t="n">
        <x:v>4</x:v>
      </x:c>
      <x:c r="C71" s="26" t="n">
        <x:v>29</x:v>
      </x:c>
      <x:c r="D71" s="26" t="str">
        <x:v>Jordan Mason</x:v>
      </x:c>
      <x:c r="E71" s="26" t="str">
        <x:v>MIN</x:v>
      </x:c>
      <x:c r="F71" s="26" t="str">
        <x:v>RB</x:v>
      </x:c>
      <x:c r="G71" s="28" t="n">
        <x:v>156.7</x:v>
      </x:c>
      <x:c r="H71" s="28" t="n">
        <x:v>32.19999999999999</x:v>
      </x:c>
      <x:c r="I71" s="28" t="n">
        <x:v>0</x:v>
      </x:c>
      <x:c r="J71" s="28" t="n">
        <x:v>32.19999999999999</x:v>
      </x:c>
      <x:c r="K71" s="27"/>
      <x:c r="L71" s="31" t="str">
        <x:v>ADP NOT LOADED</x:v>
      </x:c>
      <x:c r="M71" s="26" t="str">
        <x:v>Projection-only v1.0</x:v>
      </x:c>
    </x:row>
    <x:row r="72">
      <x:c r="A72" s="26" t="n">
        <x:v>68</x:v>
      </x:c>
      <x:c r="B72" s="26" t="n">
        <x:v>4</x:v>
      </x:c>
      <x:c r="C72" s="26" t="n">
        <x:v>35</x:v>
      </x:c>
      <x:c r="D72" s="26" t="str">
        <x:v>Michael Pittman Jr.</x:v>
      </x:c>
      <x:c r="E72" s="26" t="str">
        <x:v>PIT</x:v>
      </x:c>
      <x:c r="F72" s="26" t="str">
        <x:v>WR</x:v>
      </x:c>
      <x:c r="G72" s="28" t="n">
        <x:v>140.6</x:v>
      </x:c>
      <x:c r="H72" s="28" t="n">
        <x:v>30</x:v>
      </x:c>
      <x:c r="I72" s="28" t="n">
        <x:v>0</x:v>
      </x:c>
      <x:c r="J72" s="28" t="n">
        <x:v>30</x:v>
      </x:c>
      <x:c r="K72" s="27"/>
      <x:c r="L72" s="31" t="str">
        <x:v>ADP NOT LOADED</x:v>
      </x:c>
      <x:c r="M72" s="26" t="str">
        <x:v>Projection-only v1.0</x:v>
      </x:c>
    </x:row>
    <x:row r="73">
      <x:c r="A73" s="26" t="n">
        <x:v>69</x:v>
      </x:c>
      <x:c r="B73" s="26" t="n">
        <x:v>4</x:v>
      </x:c>
      <x:c r="C73" s="26" t="n">
        <x:v>28</x:v>
      </x:c>
      <x:c r="D73" s="26" t="str">
        <x:v>Jacory Croskey-Merritt</x:v>
      </x:c>
      <x:c r="E73" s="26" t="str">
        <x:v>WAS</x:v>
      </x:c>
      <x:c r="F73" s="26" t="str">
        <x:v>RB</x:v>
      </x:c>
      <x:c r="G73" s="28" t="n">
        <x:v>154.4</x:v>
      </x:c>
      <x:c r="H73" s="28" t="n">
        <x:v>29.900000000000006</x:v>
      </x:c>
      <x:c r="I73" s="28" t="n">
        <x:v>0</x:v>
      </x:c>
      <x:c r="J73" s="28" t="n">
        <x:v>29.900000000000006</x:v>
      </x:c>
      <x:c r="K73" s="27"/>
      <x:c r="L73" s="31" t="str">
        <x:v>ADP NOT LOADED</x:v>
      </x:c>
      <x:c r="M73" s="26" t="str">
        <x:v>Projection-only v1.0</x:v>
      </x:c>
    </x:row>
    <x:row r="74">
      <x:c r="A74" s="26" t="n">
        <x:v>70</x:v>
      </x:c>
      <x:c r="B74" s="26" t="n">
        <x:v>4</x:v>
      </x:c>
      <x:c r="C74" s="26" t="n">
        <x:v>38</x:v>
      </x:c>
      <x:c r="D74" s="26" t="str">
        <x:v>Jayden Reed</x:v>
      </x:c>
      <x:c r="E74" s="26" t="str">
        <x:v>GB</x:v>
      </x:c>
      <x:c r="F74" s="26" t="str">
        <x:v>WR</x:v>
      </x:c>
      <x:c r="G74" s="28" t="n">
        <x:v>140.5</x:v>
      </x:c>
      <x:c r="H74" s="28" t="n">
        <x:v>29.900000000000006</x:v>
      </x:c>
      <x:c r="I74" s="28" t="n">
        <x:v>0</x:v>
      </x:c>
      <x:c r="J74" s="28" t="n">
        <x:v>29.900000000000006</x:v>
      </x:c>
      <x:c r="K74" s="27"/>
      <x:c r="L74" s="31" t="str">
        <x:v>ADP NOT LOADED</x:v>
      </x:c>
      <x:c r="M74" s="26" t="str">
        <x:v>Projection-only v1.0</x:v>
      </x:c>
    </x:row>
    <x:row r="75">
      <x:c r="A75" s="26" t="n">
        <x:v>71</x:v>
      </x:c>
      <x:c r="B75" s="26" t="n">
        <x:v>4</x:v>
      </x:c>
      <x:c r="C75" s="26" t="n">
        <x:v>2</x:v>
      </x:c>
      <x:c r="D75" s="26" t="str">
        <x:v>Jayden Daniels</x:v>
      </x:c>
      <x:c r="E75" s="26" t="str">
        <x:v>WAS</x:v>
      </x:c>
      <x:c r="F75" s="26" t="str">
        <x:v>QB</x:v>
      </x:c>
      <x:c r="G75" s="28" t="n">
        <x:v>318.4</x:v>
      </x:c>
      <x:c r="H75" s="28" t="n">
        <x:v>27.799999999999955</x:v>
      </x:c>
      <x:c r="I75" s="28" t="n">
        <x:v>0</x:v>
      </x:c>
      <x:c r="J75" s="28" t="n">
        <x:v>27.799999999999955</x:v>
      </x:c>
      <x:c r="K75" s="27"/>
      <x:c r="L75" s="31" t="str">
        <x:v>ADP NOT LOADED</x:v>
      </x:c>
      <x:c r="M75" s="26" t="str">
        <x:v>Projection-only v1.0</x:v>
      </x:c>
    </x:row>
    <x:row r="76">
      <x:c r="A76" s="26" t="n">
        <x:v>72</x:v>
      </x:c>
      <x:c r="B76" s="26" t="n">
        <x:v>4</x:v>
      </x:c>
      <x:c r="C76" s="26" t="n">
        <x:v>3</x:v>
      </x:c>
      <x:c r="D76" s="26" t="str">
        <x:v>Colston Loveland</x:v>
      </x:c>
      <x:c r="E76" s="26" t="str">
        <x:v>CHI</x:v>
      </x:c>
      <x:c r="F76" s="26" t="str">
        <x:v>TE</x:v>
      </x:c>
      <x:c r="G76" s="28" t="n">
        <x:v>169.9</x:v>
      </x:c>
      <x:c r="H76" s="28" t="n">
        <x:v>26.599999999999994</x:v>
      </x:c>
      <x:c r="I76" s="28" t="n">
        <x:v>0</x:v>
      </x:c>
      <x:c r="J76" s="28" t="n">
        <x:v>26.599999999999994</x:v>
      </x:c>
      <x:c r="K76" s="27"/>
      <x:c r="L76" s="31" t="str">
        <x:v>ADP NOT LOADED</x:v>
      </x:c>
      <x:c r="M76" s="26" t="str">
        <x:v>Projection-only v1.0</x:v>
      </x:c>
    </x:row>
    <x:row r="77">
      <x:c r="A77" s="26" t="n">
        <x:v>73</x:v>
      </x:c>
      <x:c r="B77" s="26" t="n">
        <x:v>5</x:v>
      </x:c>
      <x:c r="C77" s="26" t="n">
        <x:v>3</x:v>
      </x:c>
      <x:c r="D77" s="26" t="str">
        <x:v>Caleb Williams</x:v>
      </x:c>
      <x:c r="E77" s="26" t="str">
        <x:v>CHI</x:v>
      </x:c>
      <x:c r="F77" s="26" t="str">
        <x:v>QB</x:v>
      </x:c>
      <x:c r="G77" s="28" t="n">
        <x:v>317.1</x:v>
      </x:c>
      <x:c r="H77" s="28" t="n">
        <x:v>26.5</x:v>
      </x:c>
      <x:c r="I77" s="28" t="n">
        <x:v>0</x:v>
      </x:c>
      <x:c r="J77" s="28" t="n">
        <x:v>26.5</x:v>
      </x:c>
      <x:c r="K77" s="27"/>
      <x:c r="L77" s="31" t="str">
        <x:v>ADP NOT LOADED</x:v>
      </x:c>
      <x:c r="M77" s="26" t="str">
        <x:v>Projection-only v1.0</x:v>
      </x:c>
    </x:row>
    <x:row r="78">
      <x:c r="A78" s="26" t="n">
        <x:v>74</x:v>
      </x:c>
      <x:c r="B78" s="26" t="n">
        <x:v>5</x:v>
      </x:c>
      <x:c r="C78" s="26" t="n">
        <x:v>4</x:v>
      </x:c>
      <x:c r="D78" s="26" t="str">
        <x:v>Lamar Jackson</x:v>
      </x:c>
      <x:c r="E78" s="26" t="str">
        <x:v>BAL</x:v>
      </x:c>
      <x:c r="F78" s="26" t="str">
        <x:v>QB</x:v>
      </x:c>
      <x:c r="G78" s="28" t="n">
        <x:v>316.9</x:v>
      </x:c>
      <x:c r="H78" s="28" t="n">
        <x:v>26.299999999999955</x:v>
      </x:c>
      <x:c r="I78" s="28" t="n">
        <x:v>0</x:v>
      </x:c>
      <x:c r="J78" s="28" t="n">
        <x:v>26.299999999999955</x:v>
      </x:c>
      <x:c r="K78" s="27"/>
      <x:c r="L78" s="31" t="str">
        <x:v>ADP NOT LOADED</x:v>
      </x:c>
      <x:c r="M78" s="26" t="str">
        <x:v>Projection-only v1.0</x:v>
      </x:c>
    </x:row>
    <x:row r="79">
      <x:c r="A79" s="26" t="n">
        <x:v>75</x:v>
      </x:c>
      <x:c r="B79" s="26" t="n">
        <x:v>5</x:v>
      </x:c>
      <x:c r="C79" s="26" t="n">
        <x:v>41</x:v>
      </x:c>
      <x:c r="D79" s="26" t="str">
        <x:v>Alec Pierce</x:v>
      </x:c>
      <x:c r="E79" s="26" t="str">
        <x:v>IND</x:v>
      </x:c>
      <x:c r="F79" s="26" t="str">
        <x:v>WR</x:v>
      </x:c>
      <x:c r="G79" s="28" t="n">
        <x:v>136.4</x:v>
      </x:c>
      <x:c r="H79" s="28" t="n">
        <x:v>25.80000000000001</x:v>
      </x:c>
      <x:c r="I79" s="28" t="n">
        <x:v>0</x:v>
      </x:c>
      <x:c r="J79" s="28" t="n">
        <x:v>25.80000000000001</x:v>
      </x:c>
      <x:c r="K79" s="27"/>
      <x:c r="L79" s="31" t="str">
        <x:v>ADP NOT LOADED</x:v>
      </x:c>
      <x:c r="M79" s="26" t="str">
        <x:v>Projection-only v1.0</x:v>
      </x:c>
    </x:row>
    <x:row r="80">
      <x:c r="A80" s="26" t="n">
        <x:v>76</x:v>
      </x:c>
      <x:c r="B80" s="26" t="n">
        <x:v>5</x:v>
      </x:c>
      <x:c r="C80" s="26" t="n">
        <x:v>5</x:v>
      </x:c>
      <x:c r="D80" s="26" t="str">
        <x:v>Drake Maye</x:v>
      </x:c>
      <x:c r="E80" s="26" t="str">
        <x:v>NE</x:v>
      </x:c>
      <x:c r="F80" s="26" t="str">
        <x:v>QB</x:v>
      </x:c>
      <x:c r="G80" s="28" t="n">
        <x:v>316.1</x:v>
      </x:c>
      <x:c r="H80" s="28" t="n">
        <x:v>25.5</x:v>
      </x:c>
      <x:c r="I80" s="28" t="n">
        <x:v>0</x:v>
      </x:c>
      <x:c r="J80" s="28" t="n">
        <x:v>25.5</x:v>
      </x:c>
      <x:c r="K80" s="27"/>
      <x:c r="L80" s="31" t="str">
        <x:v>ADP NOT LOADED</x:v>
      </x:c>
      <x:c r="M80" s="26" t="str">
        <x:v>Projection-only v1.0</x:v>
      </x:c>
    </x:row>
    <x:row r="81">
      <x:c r="A81" s="26" t="n">
        <x:v>77</x:v>
      </x:c>
      <x:c r="B81" s="26" t="n">
        <x:v>5</x:v>
      </x:c>
      <x:c r="C81" s="26" t="n">
        <x:v>39</x:v>
      </x:c>
      <x:c r="D81" s="26" t="str">
        <x:v>Matthew Golden</x:v>
      </x:c>
      <x:c r="E81" s="26" t="str">
        <x:v>GB</x:v>
      </x:c>
      <x:c r="F81" s="26" t="str">
        <x:v>WR</x:v>
      </x:c>
      <x:c r="G81" s="28" t="n">
        <x:v>135.8</x:v>
      </x:c>
      <x:c r="H81" s="28" t="n">
        <x:v>25.200000000000017</x:v>
      </x:c>
      <x:c r="I81" s="28" t="n">
        <x:v>0</x:v>
      </x:c>
      <x:c r="J81" s="28" t="n">
        <x:v>25.200000000000017</x:v>
      </x:c>
      <x:c r="K81" s="27"/>
      <x:c r="L81" s="31" t="str">
        <x:v>ADP NOT LOADED</x:v>
      </x:c>
      <x:c r="M81" s="26" t="str">
        <x:v>Projection-only v1.0</x:v>
      </x:c>
    </x:row>
    <x:row r="82">
      <x:c r="A82" s="26" t="n">
        <x:v>78</x:v>
      </x:c>
      <x:c r="B82" s="26" t="n">
        <x:v>5</x:v>
      </x:c>
      <x:c r="C82" s="26" t="n">
        <x:v>40</x:v>
      </x:c>
      <x:c r="D82" s="26" t="str">
        <x:v>Jordan Addison</x:v>
      </x:c>
      <x:c r="E82" s="26" t="str">
        <x:v>MIN</x:v>
      </x:c>
      <x:c r="F82" s="26" t="str">
        <x:v>WR</x:v>
      </x:c>
      <x:c r="G82" s="28" t="n">
        <x:v>135.2</x:v>
      </x:c>
      <x:c r="H82" s="28" t="n">
        <x:v>24.599999999999994</x:v>
      </x:c>
      <x:c r="I82" s="28" t="n">
        <x:v>0</x:v>
      </x:c>
      <x:c r="J82" s="28" t="n">
        <x:v>24.599999999999994</x:v>
      </x:c>
      <x:c r="K82" s="27"/>
      <x:c r="L82" s="31" t="str">
        <x:v>ADP NOT LOADED</x:v>
      </x:c>
      <x:c r="M82" s="26" t="str">
        <x:v>Projection-only v1.0</x:v>
      </x:c>
    </x:row>
    <x:row r="83">
      <x:c r="A83" s="26" t="n">
        <x:v>79</x:v>
      </x:c>
      <x:c r="B83" s="26" t="n">
        <x:v>5</x:v>
      </x:c>
      <x:c r="C83" s="26" t="n">
        <x:v>6</x:v>
      </x:c>
      <x:c r="D83" s="26" t="str">
        <x:v>Jalen Hurts</x:v>
      </x:c>
      <x:c r="E83" s="26" t="str">
        <x:v>PHI</x:v>
      </x:c>
      <x:c r="F83" s="26" t="str">
        <x:v>QB</x:v>
      </x:c>
      <x:c r="G83" s="28" t="n">
        <x:v>313.7</x:v>
      </x:c>
      <x:c r="H83" s="28" t="n">
        <x:v>23.099999999999966</x:v>
      </x:c>
      <x:c r="I83" s="28" t="n">
        <x:v>0</x:v>
      </x:c>
      <x:c r="J83" s="28" t="n">
        <x:v>23.099999999999966</x:v>
      </x:c>
      <x:c r="K83" s="27"/>
      <x:c r="L83" s="31" t="str">
        <x:v>ADP NOT LOADED</x:v>
      </x:c>
      <x:c r="M83" s="26" t="str">
        <x:v>Projection-only v1.0</x:v>
      </x:c>
    </x:row>
    <x:row r="84">
      <x:c r="A84" s="26" t="n">
        <x:v>80</x:v>
      </x:c>
      <x:c r="B84" s="26" t="n">
        <x:v>5</x:v>
      </x:c>
      <x:c r="C84" s="26" t="n">
        <x:v>30</x:v>
      </x:c>
      <x:c r="D84" s="26" t="str">
        <x:v>Tony Pollard</x:v>
      </x:c>
      <x:c r="E84" s="26" t="str">
        <x:v>TEN</x:v>
      </x:c>
      <x:c r="F84" s="26" t="str">
        <x:v>RB</x:v>
      </x:c>
      <x:c r="G84" s="28" t="n">
        <x:v>146.9</x:v>
      </x:c>
      <x:c r="H84" s="28" t="n">
        <x:v>22.400000000000006</x:v>
      </x:c>
      <x:c r="I84" s="28" t="n">
        <x:v>0</x:v>
      </x:c>
      <x:c r="J84" s="28" t="n">
        <x:v>22.400000000000006</x:v>
      </x:c>
      <x:c r="K84" s="27"/>
      <x:c r="L84" s="31" t="str">
        <x:v>ADP NOT LOADED</x:v>
      </x:c>
      <x:c r="M84" s="26" t="str">
        <x:v>Projection-only v1.0</x:v>
      </x:c>
    </x:row>
    <x:row r="85">
      <x:c r="A85" s="26" t="n">
        <x:v>81</x:v>
      </x:c>
      <x:c r="B85" s="26" t="n">
        <x:v>5</x:v>
      </x:c>
      <x:c r="C85" s="26" t="n">
        <x:v>4</x:v>
      </x:c>
      <x:c r="D85" s="26" t="str">
        <x:v>Tyler Warren</x:v>
      </x:c>
      <x:c r="E85" s="26" t="str">
        <x:v>IND</x:v>
      </x:c>
      <x:c r="F85" s="26" t="str">
        <x:v>TE</x:v>
      </x:c>
      <x:c r="G85" s="28" t="n">
        <x:v>162.1</x:v>
      </x:c>
      <x:c r="H85" s="28" t="n">
        <x:v>18.799999999999983</x:v>
      </x:c>
      <x:c r="I85" s="28" t="n">
        <x:v>0</x:v>
      </x:c>
      <x:c r="J85" s="28" t="n">
        <x:v>18.799999999999983</x:v>
      </x:c>
      <x:c r="K85" s="27"/>
      <x:c r="L85" s="31" t="str">
        <x:v>ADP NOT LOADED</x:v>
      </x:c>
      <x:c r="M85" s="26" t="str">
        <x:v>Projection-only v1.0</x:v>
      </x:c>
    </x:row>
    <x:row r="86">
      <x:c r="A86" s="26" t="n">
        <x:v>82</x:v>
      </x:c>
      <x:c r="B86" s="26" t="n">
        <x:v>5</x:v>
      </x:c>
      <x:c r="C86" s="26" t="n">
        <x:v>31</x:v>
      </x:c>
      <x:c r="D86" s="26" t="str">
        <x:v>Rico Dowdle</x:v>
      </x:c>
      <x:c r="E86" s="26" t="str">
        <x:v>PIT</x:v>
      </x:c>
      <x:c r="F86" s="26" t="str">
        <x:v>RB</x:v>
      </x:c>
      <x:c r="G86" s="28" t="n">
        <x:v>142</x:v>
      </x:c>
      <x:c r="H86" s="28" t="n">
        <x:v>17.5</x:v>
      </x:c>
      <x:c r="I86" s="28" t="n">
        <x:v>0</x:v>
      </x:c>
      <x:c r="J86" s="28" t="n">
        <x:v>17.5</x:v>
      </x:c>
      <x:c r="K86" s="27"/>
      <x:c r="L86" s="31" t="str">
        <x:v>ADP NOT LOADED</x:v>
      </x:c>
      <x:c r="M86" s="26" t="str">
        <x:v>Projection-only v1.0</x:v>
      </x:c>
    </x:row>
    <x:row r="87">
      <x:c r="A87" s="26" t="n">
        <x:v>83</x:v>
      </x:c>
      <x:c r="B87" s="26" t="n">
        <x:v>5</x:v>
      </x:c>
      <x:c r="C87" s="26" t="n">
        <x:v>42</x:v>
      </x:c>
      <x:c r="D87" s="26" t="str">
        <x:v>Jakobi Meyers</x:v>
      </x:c>
      <x:c r="E87" s="26" t="str">
        <x:v>JAX</x:v>
      </x:c>
      <x:c r="F87" s="26" t="str">
        <x:v>WR</x:v>
      </x:c>
      <x:c r="G87" s="28" t="n">
        <x:v>126.5</x:v>
      </x:c>
      <x:c r="H87" s="28" t="n">
        <x:v>15.900000000000006</x:v>
      </x:c>
      <x:c r="I87" s="28" t="n">
        <x:v>0</x:v>
      </x:c>
      <x:c r="J87" s="28" t="n">
        <x:v>15.900000000000006</x:v>
      </x:c>
      <x:c r="K87" s="27"/>
      <x:c r="L87" s="31" t="str">
        <x:v>ADP NOT LOADED</x:v>
      </x:c>
      <x:c r="M87" s="26" t="str">
        <x:v>Projection-only v1.0</x:v>
      </x:c>
    </x:row>
    <x:row r="88">
      <x:c r="A88" s="26" t="n">
        <x:v>84</x:v>
      </x:c>
      <x:c r="B88" s="26" t="n">
        <x:v>5</x:v>
      </x:c>
      <x:c r="C88" s="26" t="n">
        <x:v>7</x:v>
      </x:c>
      <x:c r="D88" s="26" t="str">
        <x:v>Joe Burrow</x:v>
      </x:c>
      <x:c r="E88" s="26" t="str">
        <x:v>CIN</x:v>
      </x:c>
      <x:c r="F88" s="26" t="str">
        <x:v>QB</x:v>
      </x:c>
      <x:c r="G88" s="28" t="n">
        <x:v>305.5</x:v>
      </x:c>
      <x:c r="H88" s="28" t="n">
        <x:v>14.899999999999977</x:v>
      </x:c>
      <x:c r="I88" s="28" t="n">
        <x:v>0</x:v>
      </x:c>
      <x:c r="J88" s="28" t="n">
        <x:v>14.899999999999977</x:v>
      </x:c>
      <x:c r="K88" s="27"/>
      <x:c r="L88" s="31" t="str">
        <x:v>ADP NOT LOADED</x:v>
      </x:c>
      <x:c r="M88" s="26" t="str">
        <x:v>Projection-only v1.0</x:v>
      </x:c>
    </x:row>
    <x:row r="89">
      <x:c r="A89" s="26" t="n">
        <x:v>85</x:v>
      </x:c>
      <x:c r="B89" s="26" t="n">
        <x:v>5</x:v>
      </x:c>
      <x:c r="C89" s="26" t="n">
        <x:v>5</x:v>
      </x:c>
      <x:c r="D89" s="26" t="str">
        <x:v>Kyle Pitts Sr.</x:v>
      </x:c>
      <x:c r="E89" s="26" t="str">
        <x:v>ATL</x:v>
      </x:c>
      <x:c r="F89" s="26" t="str">
        <x:v>TE</x:v>
      </x:c>
      <x:c r="G89" s="28" t="n">
        <x:v>157.3</x:v>
      </x:c>
      <x:c r="H89" s="28" t="n">
        <x:v>14</x:v>
      </x:c>
      <x:c r="I89" s="28" t="n">
        <x:v>0</x:v>
      </x:c>
      <x:c r="J89" s="28" t="n">
        <x:v>14</x:v>
      </x:c>
      <x:c r="K89" s="27"/>
      <x:c r="L89" s="31" t="str">
        <x:v>ADP NOT LOADED</x:v>
      </x:c>
      <x:c r="M89" s="26" t="str">
        <x:v>Projection-only v1.0</x:v>
      </x:c>
    </x:row>
    <x:row r="90">
      <x:c r="A90" s="26" t="n">
        <x:v>86</x:v>
      </x:c>
      <x:c r="B90" s="26" t="n">
        <x:v>5</x:v>
      </x:c>
      <x:c r="C90" s="26" t="n">
        <x:v>44</x:v>
      </x:c>
      <x:c r="D90" s="26" t="str">
        <x:v>Stefon Diggs</x:v>
      </x:c>
      <x:c r="E90" s="26" t="str">
        <x:v>WAS</x:v>
      </x:c>
      <x:c r="F90" s="26" t="str">
        <x:v>WR</x:v>
      </x:c>
      <x:c r="G90" s="28" t="n">
        <x:v>124.3</x:v>
      </x:c>
      <x:c r="H90" s="28" t="n">
        <x:v>13.700000000000003</x:v>
      </x:c>
      <x:c r="I90" s="28" t="n">
        <x:v>0</x:v>
      </x:c>
      <x:c r="J90" s="28" t="n">
        <x:v>13.700000000000003</x:v>
      </x:c>
      <x:c r="K90" s="27"/>
      <x:c r="L90" s="31" t="str">
        <x:v>ADP NOT LOADED</x:v>
      </x:c>
      <x:c r="M90" s="26" t="str">
        <x:v>Projection-only v1.0</x:v>
      </x:c>
    </x:row>
    <x:row r="91">
      <x:c r="A91" s="26" t="n">
        <x:v>87</x:v>
      </x:c>
      <x:c r="B91" s="26" t="n">
        <x:v>5</x:v>
      </x:c>
      <x:c r="C91" s="26" t="n">
        <x:v>6</x:v>
      </x:c>
      <x:c r="D91" s="26" t="str">
        <x:v>Sam LaPorta</x:v>
      </x:c>
      <x:c r="E91" s="26" t="str">
        <x:v>DET</x:v>
      </x:c>
      <x:c r="F91" s="26" t="str">
        <x:v>TE</x:v>
      </x:c>
      <x:c r="G91" s="28" t="n">
        <x:v>156.8</x:v>
      </x:c>
      <x:c r="H91" s="28" t="n">
        <x:v>13.5</x:v>
      </x:c>
      <x:c r="I91" s="28" t="n">
        <x:v>0</x:v>
      </x:c>
      <x:c r="J91" s="28" t="n">
        <x:v>13.5</x:v>
      </x:c>
      <x:c r="K91" s="27"/>
      <x:c r="L91" s="31" t="str">
        <x:v>ADP NOT LOADED</x:v>
      </x:c>
      <x:c r="M91" s="26" t="str">
        <x:v>Projection-only v1.0</x:v>
      </x:c>
    </x:row>
    <x:row r="92">
      <x:c r="A92" s="26" t="n">
        <x:v>88</x:v>
      </x:c>
      <x:c r="B92" s="26" t="n">
        <x:v>5</x:v>
      </x:c>
      <x:c r="C92" s="26" t="n">
        <x:v>32</x:v>
      </x:c>
      <x:c r="D92" s="26" t="str">
        <x:v>Rhamondre Stevenson</x:v>
      </x:c>
      <x:c r="E92" s="26" t="str">
        <x:v>NE</x:v>
      </x:c>
      <x:c r="F92" s="26" t="str">
        <x:v>RB</x:v>
      </x:c>
      <x:c r="G92" s="28" t="n">
        <x:v>137.3</x:v>
      </x:c>
      <x:c r="H92" s="28" t="n">
        <x:v>12.800000000000011</x:v>
      </x:c>
      <x:c r="I92" s="28" t="n">
        <x:v>0</x:v>
      </x:c>
      <x:c r="J92" s="28" t="n">
        <x:v>12.800000000000011</x:v>
      </x:c>
      <x:c r="K92" s="27"/>
      <x:c r="L92" s="31" t="str">
        <x:v>ADP NOT LOADED</x:v>
      </x:c>
      <x:c r="M92" s="26" t="str">
        <x:v>Projection-only v1.0</x:v>
      </x:c>
    </x:row>
    <x:row r="93">
      <x:c r="A93" s="26" t="n">
        <x:v>89</x:v>
      </x:c>
      <x:c r="B93" s="26" t="n">
        <x:v>5</x:v>
      </x:c>
      <x:c r="C93" s="26" t="n">
        <x:v>43</x:v>
      </x:c>
      <x:c r="D93" s="26" t="str">
        <x:v>Josh Downs</x:v>
      </x:c>
      <x:c r="E93" s="26" t="str">
        <x:v>IND</x:v>
      </x:c>
      <x:c r="F93" s="26" t="str">
        <x:v>WR</x:v>
      </x:c>
      <x:c r="G93" s="28" t="n">
        <x:v>122.3</x:v>
      </x:c>
      <x:c r="H93" s="28" t="n">
        <x:v>11.700000000000003</x:v>
      </x:c>
      <x:c r="I93" s="28" t="n">
        <x:v>0</x:v>
      </x:c>
      <x:c r="J93" s="28" t="n">
        <x:v>11.700000000000003</x:v>
      </x:c>
      <x:c r="K93" s="27"/>
      <x:c r="L93" s="31" t="str">
        <x:v>ADP NOT LOADED</x:v>
      </x:c>
      <x:c r="M93" s="26" t="str">
        <x:v>Projection-only v1.0</x:v>
      </x:c>
    </x:row>
    <x:row r="94">
      <x:c r="A94" s="26" t="n">
        <x:v>90</x:v>
      </x:c>
      <x:c r="B94" s="26" t="n">
        <x:v>5</x:v>
      </x:c>
      <x:c r="C94" s="26" t="n">
        <x:v>34</x:v>
      </x:c>
      <x:c r="D94" s="26" t="str">
        <x:v>Kyle Monangai</x:v>
      </x:c>
      <x:c r="E94" s="26" t="str">
        <x:v>CHI</x:v>
      </x:c>
      <x:c r="F94" s="26" t="str">
        <x:v>RB</x:v>
      </x:c>
      <x:c r="G94" s="28" t="n">
        <x:v>135.9</x:v>
      </x:c>
      <x:c r="H94" s="28" t="n">
        <x:v>11.400000000000006</x:v>
      </x:c>
      <x:c r="I94" s="28" t="n">
        <x:v>0</x:v>
      </x:c>
      <x:c r="J94" s="28" t="n">
        <x:v>11.400000000000006</x:v>
      </x:c>
      <x:c r="K94" s="27"/>
      <x:c r="L94" s="31" t="str">
        <x:v>ADP NOT LOADED</x:v>
      </x:c>
      <x:c r="M94" s="26" t="str">
        <x:v>Projection-only v1.0</x:v>
      </x:c>
    </x:row>
    <x:row r="95">
      <x:c r="A95" s="26" t="n">
        <x:v>91</x:v>
      </x:c>
      <x:c r="B95" s="26" t="n">
        <x:v>5</x:v>
      </x:c>
      <x:c r="C95" s="26" t="n">
        <x:v>7</x:v>
      </x:c>
      <x:c r="D95" s="26" t="str">
        <x:v>Harold Fannin Jr.</x:v>
      </x:c>
      <x:c r="E95" s="26" t="str">
        <x:v>CLE</x:v>
      </x:c>
      <x:c r="F95" s="26" t="str">
        <x:v>TE</x:v>
      </x:c>
      <x:c r="G95" s="28" t="n">
        <x:v>154.4</x:v>
      </x:c>
      <x:c r="H95" s="28" t="n">
        <x:v>11.099999999999994</x:v>
      </x:c>
      <x:c r="I95" s="28" t="n">
        <x:v>0</x:v>
      </x:c>
      <x:c r="J95" s="28" t="n">
        <x:v>11.099999999999994</x:v>
      </x:c>
      <x:c r="K95" s="27"/>
      <x:c r="L95" s="31" t="str">
        <x:v>ADP NOT LOADED</x:v>
      </x:c>
      <x:c r="M95" s="26" t="str">
        <x:v>Projection-only v1.0</x:v>
      </x:c>
    </x:row>
    <x:row r="96">
      <x:c r="A96" s="26" t="n">
        <x:v>92</x:v>
      </x:c>
      <x:c r="B96" s="26" t="n">
        <x:v>5</x:v>
      </x:c>
      <x:c r="C96" s="26" t="n">
        <x:v>46</x:v>
      </x:c>
      <x:c r="D96" s="26" t="str">
        <x:v>Xavier Worthy</x:v>
      </x:c>
      <x:c r="E96" s="26" t="str">
        <x:v>KC</x:v>
      </x:c>
      <x:c r="F96" s="26" t="str">
        <x:v>WR</x:v>
      </x:c>
      <x:c r="G96" s="28" t="n">
        <x:v>120</x:v>
      </x:c>
      <x:c r="H96" s="28" t="n">
        <x:v>9.400000000000006</x:v>
      </x:c>
      <x:c r="I96" s="28" t="n">
        <x:v>0</x:v>
      </x:c>
      <x:c r="J96" s="28" t="n">
        <x:v>9.400000000000006</x:v>
      </x:c>
      <x:c r="K96" s="27"/>
      <x:c r="L96" s="31" t="str">
        <x:v>ADP NOT LOADED</x:v>
      </x:c>
      <x:c r="M96" s="26" t="str">
        <x:v>Projection-only v1.0</x:v>
      </x:c>
    </x:row>
    <x:row r="97">
      <x:c r="A97" s="26" t="n">
        <x:v>93</x:v>
      </x:c>
      <x:c r="B97" s="26" t="n">
        <x:v>5</x:v>
      </x:c>
      <x:c r="C97" s="26" t="n">
        <x:v>8</x:v>
      </x:c>
      <x:c r="D97" s="26" t="str">
        <x:v>Trevor Lawrence</x:v>
      </x:c>
      <x:c r="E97" s="26" t="str">
        <x:v>JAX</x:v>
      </x:c>
      <x:c r="F97" s="26" t="str">
        <x:v>QB</x:v>
      </x:c>
      <x:c r="G97" s="28" t="n">
        <x:v>297.7</x:v>
      </x:c>
      <x:c r="H97" s="28" t="n">
        <x:v>7.099999999999966</x:v>
      </x:c>
      <x:c r="I97" s="28" t="n">
        <x:v>0</x:v>
      </x:c>
      <x:c r="J97" s="28" t="n">
        <x:v>7.099999999999966</x:v>
      </x:c>
      <x:c r="K97" s="27"/>
      <x:c r="L97" s="31" t="str">
        <x:v>ADP NOT LOADED</x:v>
      </x:c>
      <x:c r="M97" s="26" t="str">
        <x:v>Projection-only v1.0</x:v>
      </x:c>
    </x:row>
    <x:row r="98">
      <x:c r="A98" s="26" t="n">
        <x:v>94</x:v>
      </x:c>
      <x:c r="B98" s="26" t="n">
        <x:v>5</x:v>
      </x:c>
      <x:c r="C98" s="26" t="n">
        <x:v>9</x:v>
      </x:c>
      <x:c r="D98" s="26" t="str">
        <x:v>Justin Herbert</x:v>
      </x:c>
      <x:c r="E98" s="26" t="str">
        <x:v>LAC</x:v>
      </x:c>
      <x:c r="F98" s="26" t="str">
        <x:v>QB</x:v>
      </x:c>
      <x:c r="G98" s="28" t="n">
        <x:v>297.6</x:v>
      </x:c>
      <x:c r="H98" s="28" t="n">
        <x:v>7</x:v>
      </x:c>
      <x:c r="I98" s="28" t="n">
        <x:v>0</x:v>
      </x:c>
      <x:c r="J98" s="28" t="n">
        <x:v>7</x:v>
      </x:c>
      <x:c r="K98" s="27"/>
      <x:c r="L98" s="31" t="str">
        <x:v>ADP NOT LOADED</x:v>
      </x:c>
      <x:c r="M98" s="26" t="str">
        <x:v>Projection-only v1.0</x:v>
      </x:c>
    </x:row>
    <x:row r="99">
      <x:c r="A99" s="26" t="n">
        <x:v>95</x:v>
      </x:c>
      <x:c r="B99" s="26" t="n">
        <x:v>5</x:v>
      </x:c>
      <x:c r="C99" s="26" t="n">
        <x:v>35</x:v>
      </x:c>
      <x:c r="D99" s="26" t="str">
        <x:v>Chuba Hubbard</x:v>
      </x:c>
      <x:c r="E99" s="26" t="str">
        <x:v>CAR</x:v>
      </x:c>
      <x:c r="F99" s="26" t="str">
        <x:v>RB</x:v>
      </x:c>
      <x:c r="G99" s="28" t="n">
        <x:v>131.4</x:v>
      </x:c>
      <x:c r="H99" s="28" t="n">
        <x:v>6.900000000000006</x:v>
      </x:c>
      <x:c r="I99" s="28" t="n">
        <x:v>0</x:v>
      </x:c>
      <x:c r="J99" s="28" t="n">
        <x:v>6.900000000000006</x:v>
      </x:c>
      <x:c r="K99" s="27"/>
      <x:c r="L99" s="31" t="str">
        <x:v>ADP NOT LOADED</x:v>
      </x:c>
      <x:c r="M99" s="26" t="str">
        <x:v>Projection-only v1.0</x:v>
      </x:c>
    </x:row>
    <x:row r="100">
      <x:c r="A100" s="26" t="n">
        <x:v>96</x:v>
      </x:c>
      <x:c r="B100" s="26" t="n">
        <x:v>5</x:v>
      </x:c>
      <x:c r="C100" s="26" t="n">
        <x:v>45</x:v>
      </x:c>
      <x:c r="D100" s="26" t="str">
        <x:v>Tre Tucker</x:v>
      </x:c>
      <x:c r="E100" s="26" t="str">
        <x:v>LV</x:v>
      </x:c>
      <x:c r="F100" s="26" t="str">
        <x:v>WR</x:v>
      </x:c>
      <x:c r="G100" s="28" t="n">
        <x:v>117.4</x:v>
      </x:c>
      <x:c r="H100" s="28" t="n">
        <x:v>6.800000000000011</x:v>
      </x:c>
      <x:c r="I100" s="28" t="n">
        <x:v>0</x:v>
      </x:c>
      <x:c r="J100" s="28" t="n">
        <x:v>6.800000000000011</x:v>
      </x:c>
      <x:c r="K100" s="27"/>
      <x:c r="L100" s="31" t="str">
        <x:v>ADP NOT LOADED</x:v>
      </x:c>
      <x:c r="M100" s="26" t="str">
        <x:v>Projection-only v1.0</x:v>
      </x:c>
    </x:row>
    <x:row r="101">
      <x:c r="A101" s="26" t="n">
        <x:v>97</x:v>
      </x:c>
      <x:c r="B101" s="26" t="n">
        <x:v>5</x:v>
      </x:c>
      <x:c r="C101" s="26" t="n">
        <x:v>47</x:v>
      </x:c>
      <x:c r="D101" s="26" t="str">
        <x:v>Quentin Johnston</x:v>
      </x:c>
      <x:c r="E101" s="26" t="str">
        <x:v>LAC</x:v>
      </x:c>
      <x:c r="F101" s="26" t="str">
        <x:v>WR</x:v>
      </x:c>
      <x:c r="G101" s="28" t="n">
        <x:v>116.8</x:v>
      </x:c>
      <x:c r="H101" s="28" t="n">
        <x:v>6.200000000000003</x:v>
      </x:c>
      <x:c r="I101" s="28" t="n">
        <x:v>0</x:v>
      </x:c>
      <x:c r="J101" s="28" t="n">
        <x:v>6.200000000000003</x:v>
      </x:c>
      <x:c r="K101" s="27"/>
      <x:c r="L101" s="31" t="str">
        <x:v>ADP NOT LOADED</x:v>
      </x:c>
      <x:c r="M101" s="26" t="str">
        <x:v>Projection-only v1.0</x:v>
      </x:c>
    </x:row>
    <x:row r="102">
      <x:c r="A102" s="26" t="n">
        <x:v>98</x:v>
      </x:c>
      <x:c r="B102" s="26" t="n">
        <x:v>5</x:v>
      </x:c>
      <x:c r="C102" s="26" t="n">
        <x:v>10</x:v>
      </x:c>
      <x:c r="D102" s="26" t="str">
        <x:v>Jaxson Dart</x:v>
      </x:c>
      <x:c r="E102" s="26" t="str">
        <x:v>NYG</x:v>
      </x:c>
      <x:c r="F102" s="26" t="str">
        <x:v>QB</x:v>
      </x:c>
      <x:c r="G102" s="28" t="n">
        <x:v>296.8</x:v>
      </x:c>
      <x:c r="H102" s="28" t="n">
        <x:v>6.199999999999989</x:v>
      </x:c>
      <x:c r="I102" s="28" t="n">
        <x:v>0</x:v>
      </x:c>
      <x:c r="J102" s="28" t="n">
        <x:v>6.199999999999989</x:v>
      </x:c>
      <x:c r="K102" s="27"/>
      <x:c r="L102" s="31" t="str">
        <x:v>ADP NOT LOADED</x:v>
      </x:c>
      <x:c r="M102" s="26" t="str">
        <x:v>Projection-only v1.0</x:v>
      </x:c>
    </x:row>
    <x:row r="103">
      <x:c r="A103" s="26" t="n">
        <x:v>99</x:v>
      </x:c>
      <x:c r="B103" s="26" t="n">
        <x:v>5</x:v>
      </x:c>
      <x:c r="C103" s="26" t="n">
        <x:v>33</x:v>
      </x:c>
      <x:c r="D103" s="26" t="str">
        <x:v>Kenny Gainwell</x:v>
      </x:c>
      <x:c r="E103" s="26" t="str">
        <x:v>TB</x:v>
      </x:c>
      <x:c r="F103" s="26" t="str">
        <x:v>RB</x:v>
      </x:c>
      <x:c r="G103" s="28" t="n">
        <x:v>130.4</x:v>
      </x:c>
      <x:c r="H103" s="28" t="n">
        <x:v>5.900000000000006</x:v>
      </x:c>
      <x:c r="I103" s="28" t="n">
        <x:v>0</x:v>
      </x:c>
      <x:c r="J103" s="28" t="n">
        <x:v>5.900000000000006</x:v>
      </x:c>
      <x:c r="K103" s="27"/>
      <x:c r="L103" s="31" t="str">
        <x:v>ADP NOT LOADED</x:v>
      </x:c>
      <x:c r="M103" s="26" t="str">
        <x:v>Projection-only v1.0</x:v>
      </x:c>
    </x:row>
    <x:row r="104">
      <x:c r="A104" s="26" t="n">
        <x:v>100</x:v>
      </x:c>
      <x:c r="B104" s="26" t="n">
        <x:v>5</x:v>
      </x:c>
      <x:c r="C104" s="26" t="n">
        <x:v>9</x:v>
      </x:c>
      <x:c r="D104" s="26" t="str">
        <x:v>Isaiah Likely</x:v>
      </x:c>
      <x:c r="E104" s="26" t="str">
        <x:v>NYG</x:v>
      </x:c>
      <x:c r="F104" s="26" t="str">
        <x:v>TE</x:v>
      </x:c>
      <x:c r="G104" s="28" t="n">
        <x:v>149.2</x:v>
      </x:c>
      <x:c r="H104" s="28" t="n">
        <x:v>5.899999999999977</x:v>
      </x:c>
      <x:c r="I104" s="28" t="n">
        <x:v>0</x:v>
      </x:c>
      <x:c r="J104" s="28" t="n">
        <x:v>5.899999999999977</x:v>
      </x:c>
      <x:c r="K104" s="27"/>
      <x:c r="L104" s="31" t="str">
        <x:v>ADP NOT LOADED</x:v>
      </x:c>
      <x:c r="M104" s="26" t="str">
        <x:v>Projection-only v1.0</x:v>
      </x:c>
    </x:row>
    <x:row r="105">
      <x:c r="A105" s="26" t="n">
        <x:v>101</x:v>
      </x:c>
      <x:c r="B105" s="26" t="n">
        <x:v>6</x:v>
      </x:c>
      <x:c r="C105" s="26" t="n">
        <x:v>36</x:v>
      </x:c>
      <x:c r="D105" s="26" t="str">
        <x:v>Jonathon Brooks</x:v>
      </x:c>
      <x:c r="E105" s="26" t="str">
        <x:v>CAR</x:v>
      </x:c>
      <x:c r="F105" s="26" t="str">
        <x:v>RB</x:v>
      </x:c>
      <x:c r="G105" s="28" t="n">
        <x:v>129.2</x:v>
      </x:c>
      <x:c r="H105" s="28" t="n">
        <x:v>4.699999999999989</x:v>
      </x:c>
      <x:c r="I105" s="28" t="n">
        <x:v>0</x:v>
      </x:c>
      <x:c r="J105" s="28" t="n">
        <x:v>4.699999999999989</x:v>
      </x:c>
      <x:c r="K105" s="27"/>
      <x:c r="L105" s="31" t="str">
        <x:v>ADP NOT LOADED</x:v>
      </x:c>
      <x:c r="M105" s="26" t="str">
        <x:v>Projection-only v1.0</x:v>
      </x:c>
    </x:row>
    <x:row r="106">
      <x:c r="A106" s="26" t="n">
        <x:v>102</x:v>
      </x:c>
      <x:c r="B106" s="26" t="n">
        <x:v>6</x:v>
      </x:c>
      <x:c r="C106" s="26" t="n">
        <x:v>40</x:v>
      </x:c>
      <x:c r="D106" s="26" t="str">
        <x:v>Blake Corum</x:v>
      </x:c>
      <x:c r="E106" s="26" t="str">
        <x:v>LAR</x:v>
      </x:c>
      <x:c r="F106" s="26" t="str">
        <x:v>RB</x:v>
      </x:c>
      <x:c r="G106" s="28" t="n">
        <x:v>128.1</x:v>
      </x:c>
      <x:c r="H106" s="28" t="n">
        <x:v>3.5999999999999943</x:v>
      </x:c>
      <x:c r="I106" s="28" t="n">
        <x:v>0</x:v>
      </x:c>
      <x:c r="J106" s="28" t="n">
        <x:v>3.5999999999999943</x:v>
      </x:c>
      <x:c r="K106" s="27"/>
      <x:c r="L106" s="31" t="str">
        <x:v>ADP NOT LOADED</x:v>
      </x:c>
      <x:c r="M106" s="26" t="str">
        <x:v>Projection-only v1.0</x:v>
      </x:c>
    </x:row>
    <x:row r="107">
      <x:c r="A107" s="26" t="n">
        <x:v>103</x:v>
      </x:c>
      <x:c r="B107" s="26" t="n">
        <x:v>6</x:v>
      </x:c>
      <x:c r="C107" s="26" t="n">
        <x:v>11</x:v>
      </x:c>
      <x:c r="D107" s="26" t="str">
        <x:v>Bo Nix</x:v>
      </x:c>
      <x:c r="E107" s="26" t="str">
        <x:v>DEN</x:v>
      </x:c>
      <x:c r="F107" s="26" t="str">
        <x:v>QB</x:v>
      </x:c>
      <x:c r="G107" s="28" t="n">
        <x:v>294.1</x:v>
      </x:c>
      <x:c r="H107" s="28" t="n">
        <x:v>3.5</x:v>
      </x:c>
      <x:c r="I107" s="28" t="n">
        <x:v>0</x:v>
      </x:c>
      <x:c r="J107" s="28" t="n">
        <x:v>3.5</x:v>
      </x:c>
      <x:c r="K107" s="27"/>
      <x:c r="L107" s="31" t="str">
        <x:v>ADP NOT LOADED</x:v>
      </x:c>
      <x:c r="M107" s="26" t="str">
        <x:v>Projection-only v1.0</x:v>
      </x:c>
    </x:row>
    <x:row r="108">
      <x:c r="A108" s="26" t="n">
        <x:v>104</x:v>
      </x:c>
      <x:c r="B108" s="26" t="n">
        <x:v>6</x:v>
      </x:c>
      <x:c r="C108" s="26" t="n">
        <x:v>39</x:v>
      </x:c>
      <x:c r="D108" s="26" t="str">
        <x:v>J.K. Dobbins</x:v>
      </x:c>
      <x:c r="E108" s="26" t="str">
        <x:v>DEN</x:v>
      </x:c>
      <x:c r="F108" s="26" t="str">
        <x:v>RB</x:v>
      </x:c>
      <x:c r="G108" s="28" t="n">
        <x:v>127.7</x:v>
      </x:c>
      <x:c r="H108" s="28" t="n">
        <x:v>3.200000000000003</x:v>
      </x:c>
      <x:c r="I108" s="28" t="n">
        <x:v>0</x:v>
      </x:c>
      <x:c r="J108" s="28" t="n">
        <x:v>3.200000000000003</x:v>
      </x:c>
      <x:c r="K108" s="27"/>
      <x:c r="L108" s="31" t="str">
        <x:v>ADP NOT LOADED</x:v>
      </x:c>
      <x:c r="M108" s="26" t="str">
        <x:v>Projection-only v1.0</x:v>
      </x:c>
    </x:row>
    <x:row r="109">
      <x:c r="A109" s="26" t="n">
        <x:v>105</x:v>
      </x:c>
      <x:c r="B109" s="26" t="n">
        <x:v>6</x:v>
      </x:c>
      <x:c r="C109" s="26" t="n">
        <x:v>12</x:v>
      </x:c>
      <x:c r="D109" s="26" t="str">
        <x:v>Dak Prescott</x:v>
      </x:c>
      <x:c r="E109" s="26" t="str">
        <x:v>DAL</x:v>
      </x:c>
      <x:c r="F109" s="26" t="str">
        <x:v>QB</x:v>
      </x:c>
      <x:c r="G109" s="28" t="n">
        <x:v>292.6</x:v>
      </x:c>
      <x:c r="H109" s="28" t="n">
        <x:v>2</x:v>
      </x:c>
      <x:c r="I109" s="28" t="n">
        <x:v>0</x:v>
      </x:c>
      <x:c r="J109" s="28" t="n">
        <x:v>2</x:v>
      </x:c>
      <x:c r="K109" s="27"/>
      <x:c r="L109" s="31" t="str">
        <x:v>ADP NOT LOADED</x:v>
      </x:c>
      <x:c r="M109" s="26" t="str">
        <x:v>Projection-only v1.0</x:v>
      </x:c>
    </x:row>
    <x:row r="110">
      <x:c r="A110" s="26" t="n">
        <x:v>106</x:v>
      </x:c>
      <x:c r="B110" s="26" t="n">
        <x:v>6</x:v>
      </x:c>
      <x:c r="C110" s="26" t="n">
        <x:v>8</x:v>
      </x:c>
      <x:c r="D110" s="26" t="str">
        <x:v>Jake Ferguson</x:v>
      </x:c>
      <x:c r="E110" s="26" t="str">
        <x:v>DAL</x:v>
      </x:c>
      <x:c r="F110" s="26" t="str">
        <x:v>TE</x:v>
      </x:c>
      <x:c r="G110" s="28" t="n">
        <x:v>144.2</x:v>
      </x:c>
      <x:c r="H110" s="28" t="n">
        <x:v>0.8999999999999773</x:v>
      </x:c>
      <x:c r="I110" s="28" t="n">
        <x:v>0</x:v>
      </x:c>
      <x:c r="J110" s="28" t="n">
        <x:v>0.8999999999999773</x:v>
      </x:c>
      <x:c r="K110" s="27"/>
      <x:c r="L110" s="31" t="str">
        <x:v>ADP NOT LOADED</x:v>
      </x:c>
      <x:c r="M110" s="26" t="str">
        <x:v>Projection-only v1.0</x:v>
      </x:c>
    </x:row>
    <x:row r="111">
      <x:c r="A111" s="26" t="n">
        <x:v>107</x:v>
      </x:c>
      <x:c r="B111" s="26" t="n">
        <x:v>6</x:v>
      </x:c>
      <x:c r="C111" s="26" t="n">
        <x:v>11</x:v>
      </x:c>
      <x:c r="D111" s="26" t="str">
        <x:v>Dallas Goedert</x:v>
      </x:c>
      <x:c r="E111" s="26" t="str">
        <x:v>PHI</x:v>
      </x:c>
      <x:c r="F111" s="26" t="str">
        <x:v>TE</x:v>
      </x:c>
      <x:c r="G111" s="28" t="n">
        <x:v>143.5</x:v>
      </x:c>
      <x:c r="H111" s="28" t="n">
        <x:v>0.19999999999998863</x:v>
      </x:c>
      <x:c r="I111" s="28" t="n">
        <x:v>0</x:v>
      </x:c>
      <x:c r="J111" s="28" t="n">
        <x:v>0.19999999999998863</x:v>
      </x:c>
      <x:c r="K111" s="27"/>
      <x:c r="L111" s="31" t="str">
        <x:v>ADP NOT LOADED</x:v>
      </x:c>
      <x:c r="M111" s="26" t="str">
        <x:v>Projection-only v1.0</x:v>
      </x:c>
    </x:row>
    <x:row r="112">
      <x:c r="A112" s="26" t="n">
        <x:v>108</x:v>
      </x:c>
      <x:c r="B112" s="26" t="n">
        <x:v>6</x:v>
      </x:c>
      <x:c r="C112" s="26" t="n">
        <x:v>10</x:v>
      </x:c>
      <x:c r="D112" s="26" t="str">
        <x:v>Travis Kelce</x:v>
      </x:c>
      <x:c r="E112" s="26" t="str">
        <x:v>KC</x:v>
      </x:c>
      <x:c r="F112" s="26" t="str">
        <x:v>TE</x:v>
      </x:c>
      <x:c r="G112" s="28" t="n">
        <x:v>143.5</x:v>
      </x:c>
      <x:c r="H112" s="28" t="n">
        <x:v>0.19999999999998863</x:v>
      </x:c>
      <x:c r="I112" s="28" t="n">
        <x:v>0</x:v>
      </x:c>
      <x:c r="J112" s="28" t="n">
        <x:v>0.19999999999998863</x:v>
      </x:c>
      <x:c r="K112" s="27"/>
      <x:c r="L112" s="31" t="str">
        <x:v>ADP NOT LOADED</x:v>
      </x:c>
      <x:c r="M112" s="26" t="str">
        <x:v>Projection-only v1.0</x:v>
      </x:c>
    </x:row>
    <x:row r="113">
      <x:c r="A113" s="26" t="n">
        <x:v>109</x:v>
      </x:c>
      <x:c r="B113" s="26" t="n">
        <x:v>6</x:v>
      </x:c>
      <x:c r="C113" s="26" t="n">
        <x:v>13</x:v>
      </x:c>
      <x:c r="D113" s="26" t="str">
        <x:v>Brock Purdy</x:v>
      </x:c>
      <x:c r="E113" s="26" t="str">
        <x:v>SF</x:v>
      </x:c>
      <x:c r="F113" s="26" t="str">
        <x:v>QB</x:v>
      </x:c>
      <x:c r="G113" s="28" t="n">
        <x:v>290.6</x:v>
      </x:c>
      <x:c r="H113" s="28" t="n">
        <x:v>0</x:v>
      </x:c>
      <x:c r="I113" s="28" t="n">
        <x:v>0</x:v>
      </x:c>
      <x:c r="J113" s="28" t="n">
        <x:v>0</x:v>
      </x:c>
      <x:c r="K113" s="27"/>
      <x:c r="L113" s="31" t="str">
        <x:v>ADP NOT LOADED</x:v>
      </x:c>
      <x:c r="M113" s="26" t="str">
        <x:v>Projection-only v1.0</x:v>
      </x:c>
    </x:row>
    <x:row r="114">
      <x:c r="A114" s="26" t="n">
        <x:v>110</x:v>
      </x:c>
      <x:c r="B114" s="26" t="n">
        <x:v>6</x:v>
      </x:c>
      <x:c r="C114" s="26" t="n">
        <x:v>13</x:v>
      </x:c>
      <x:c r="D114" s="26" t="str">
        <x:v>Tucker Kraft</x:v>
      </x:c>
      <x:c r="E114" s="26" t="str">
        <x:v>GB</x:v>
      </x:c>
      <x:c r="F114" s="26" t="str">
        <x:v>TE</x:v>
      </x:c>
      <x:c r="G114" s="28" t="n">
        <x:v>143.3</x:v>
      </x:c>
      <x:c r="H114" s="28" t="n">
        <x:v>0</x:v>
      </x:c>
      <x:c r="I114" s="28" t="n">
        <x:v>0</x:v>
      </x:c>
      <x:c r="J114" s="28" t="n">
        <x:v>0</x:v>
      </x:c>
      <x:c r="K114" s="27"/>
      <x:c r="L114" s="31" t="str">
        <x:v>ADP NOT LOADED</x:v>
      </x:c>
      <x:c r="M114" s="26" t="str">
        <x:v>Projection-only v1.0</x:v>
      </x:c>
    </x:row>
    <x:row r="115">
      <x:c r="A115" s="26" t="n">
        <x:v>111</x:v>
      </x:c>
      <x:c r="B115" s="26" t="n">
        <x:v>6</x:v>
      </x:c>
      <x:c r="C115" s="26" t="n">
        <x:v>37</x:v>
      </x:c>
      <x:c r="D115" s="26" t="str">
        <x:v>Aaron Jones Sr.</x:v>
      </x:c>
      <x:c r="E115" s="26" t="str">
        <x:v>MIN</x:v>
      </x:c>
      <x:c r="F115" s="26" t="str">
        <x:v>RB</x:v>
      </x:c>
      <x:c r="G115" s="28" t="n">
        <x:v>124.5</x:v>
      </x:c>
      <x:c r="H115" s="28" t="n">
        <x:v>0</x:v>
      </x:c>
      <x:c r="I115" s="28" t="n">
        <x:v>0</x:v>
      </x:c>
      <x:c r="J115" s="28" t="n">
        <x:v>0</x:v>
      </x:c>
      <x:c r="K115" s="27"/>
      <x:c r="L115" s="31" t="str">
        <x:v>ADP NOT LOADED</x:v>
      </x:c>
      <x:c r="M115" s="26" t="str">
        <x:v>Projection-only v1.0</x:v>
      </x:c>
    </x:row>
    <x:row r="116">
      <x:c r="A116" s="26" t="n">
        <x:v>112</x:v>
      </x:c>
      <x:c r="B116" s="26" t="n">
        <x:v>6</x:v>
      </x:c>
      <x:c r="C116" s="26" t="n">
        <x:v>49</x:v>
      </x:c>
      <x:c r="D116" s="26" t="str">
        <x:v>Adonai Mitchell</x:v>
      </x:c>
      <x:c r="E116" s="26" t="str">
        <x:v>NYJ</x:v>
      </x:c>
      <x:c r="F116" s="26" t="str">
        <x:v>WR</x:v>
      </x:c>
      <x:c r="G116" s="28" t="n">
        <x:v>110.6</x:v>
      </x:c>
      <x:c r="H116" s="28" t="n">
        <x:v>0</x:v>
      </x:c>
      <x:c r="I116" s="28" t="n">
        <x:v>0</x:v>
      </x:c>
      <x:c r="J116" s="28" t="n">
        <x:v>0</x:v>
      </x:c>
      <x:c r="K116" s="27"/>
      <x:c r="L116" s="31" t="str">
        <x:v>ADP NOT LOADED</x:v>
      </x:c>
      <x:c r="M116" s="26" t="str">
        <x:v>Projection-only v1.0</x:v>
      </x:c>
    </x:row>
    <x:row r="117">
      <x:c r="A117" s="26" t="n">
        <x:v>113</x:v>
      </x:c>
      <x:c r="B117" s="26" t="n">
        <x:v>6</x:v>
      </x:c>
      <x:c r="C117" s="26" t="n">
        <x:v>50</x:v>
      </x:c>
      <x:c r="D117" s="26" t="str">
        <x:v>Carnell Tate</x:v>
      </x:c>
      <x:c r="E117" s="26" t="str">
        <x:v>TEN</x:v>
      </x:c>
      <x:c r="F117" s="26" t="str">
        <x:v>WR</x:v>
      </x:c>
      <x:c r="G117" s="28" t="n">
        <x:v>109.8</x:v>
      </x:c>
      <x:c r="H117" s="28" t="n">
        <x:v>-0.7999999999999972</x:v>
      </x:c>
      <x:c r="I117" s="28" t="n">
        <x:v>0</x:v>
      </x:c>
      <x:c r="J117" s="28" t="n">
        <x:v>-0.7999999999999972</x:v>
      </x:c>
      <x:c r="K117" s="27"/>
      <x:c r="L117" s="31" t="str">
        <x:v>ADP NOT LOADED</x:v>
      </x:c>
      <x:c r="M117" s="26" t="str">
        <x:v>Projection-only v1.0</x:v>
      </x:c>
    </x:row>
    <x:row r="118">
      <x:c r="A118" s="26" t="n">
        <x:v>114</x:v>
      </x:c>
      <x:c r="B118" s="26" t="n">
        <x:v>6</x:v>
      </x:c>
      <x:c r="C118" s="26" t="n">
        <x:v>12</x:v>
      </x:c>
      <x:c r="D118" s="26" t="str">
        <x:v>Dalton Kincaid</x:v>
      </x:c>
      <x:c r="E118" s="26" t="str">
        <x:v>BUF</x:v>
      </x:c>
      <x:c r="F118" s="26" t="str">
        <x:v>TE</x:v>
      </x:c>
      <x:c r="G118" s="28" t="n">
        <x:v>142.4</x:v>
      </x:c>
      <x:c r="H118" s="28" t="n">
        <x:v>-0.9000000000000057</x:v>
      </x:c>
      <x:c r="I118" s="28" t="n">
        <x:v>0</x:v>
      </x:c>
      <x:c r="J118" s="28" t="n">
        <x:v>-0.9000000000000057</x:v>
      </x:c>
      <x:c r="K118" s="27"/>
      <x:c r="L118" s="31" t="str">
        <x:v>ADP NOT LOADED</x:v>
      </x:c>
      <x:c r="M118" s="26" t="str">
        <x:v>Projection-only v1.0</x:v>
      </x:c>
    </x:row>
    <x:row r="119">
      <x:c r="A119" s="26" t="n">
        <x:v>115</x:v>
      </x:c>
      <x:c r="B119" s="26" t="n">
        <x:v>6</x:v>
      </x:c>
      <x:c r="C119" s="26" t="n">
        <x:v>14</x:v>
      </x:c>
      <x:c r="D119" s="26" t="str">
        <x:v>Jared Goff</x:v>
      </x:c>
      <x:c r="E119" s="26" t="str">
        <x:v>DET</x:v>
      </x:c>
      <x:c r="F119" s="26" t="str">
        <x:v>QB</x:v>
      </x:c>
      <x:c r="G119" s="28" t="n">
        <x:v>289.5</x:v>
      </x:c>
      <x:c r="H119" s="28" t="n">
        <x:v>-1.1000000000000227</x:v>
      </x:c>
      <x:c r="I119" s="28" t="n">
        <x:v>0</x:v>
      </x:c>
      <x:c r="J119" s="28" t="n">
        <x:v>-1.1000000000000227</x:v>
      </x:c>
      <x:c r="K119" s="27"/>
      <x:c r="L119" s="31" t="str">
        <x:v>ADP NOT LOADED</x:v>
      </x:c>
      <x:c r="M119" s="26" t="str">
        <x:v>Projection-only v1.0</x:v>
      </x:c>
    </x:row>
    <x:row r="120">
      <x:c r="A120" s="26" t="n">
        <x:v>116</x:v>
      </x:c>
      <x:c r="B120" s="26" t="n">
        <x:v>6</x:v>
      </x:c>
      <x:c r="C120" s="26" t="n">
        <x:v>48</x:v>
      </x:c>
      <x:c r="D120" s="26" t="str">
        <x:v>Chris Godwin Jr.</x:v>
      </x:c>
      <x:c r="E120" s="26" t="str">
        <x:v>TB</x:v>
      </x:c>
      <x:c r="F120" s="26" t="str">
        <x:v>WR</x:v>
      </x:c>
      <x:c r="G120" s="28" t="n">
        <x:v>109.2</x:v>
      </x:c>
      <x:c r="H120" s="28" t="n">
        <x:v>-1.3999999999999915</x:v>
      </x:c>
      <x:c r="I120" s="28" t="n">
        <x:v>0</x:v>
      </x:c>
      <x:c r="J120" s="28" t="n">
        <x:v>-1.3999999999999915</x:v>
      </x:c>
      <x:c r="K120" s="27"/>
      <x:c r="L120" s="31" t="str">
        <x:v>ADP NOT LOADED</x:v>
      </x:c>
      <x:c r="M120" s="26" t="str">
        <x:v>Projection-only v1.0</x:v>
      </x:c>
    </x:row>
    <x:row r="121">
      <x:c r="A121" s="26" t="n">
        <x:v>117</x:v>
      </x:c>
      <x:c r="B121" s="26" t="n">
        <x:v>6</x:v>
      </x:c>
      <x:c r="C121" s="26" t="n">
        <x:v>14</x:v>
      </x:c>
      <x:c r="D121" s="26" t="str">
        <x:v>Mark Andrews</x:v>
      </x:c>
      <x:c r="E121" s="26" t="str">
        <x:v>BAL</x:v>
      </x:c>
      <x:c r="F121" s="26" t="str">
        <x:v>TE</x:v>
      </x:c>
      <x:c r="G121" s="28" t="n">
        <x:v>141.1</x:v>
      </x:c>
      <x:c r="H121" s="28" t="n">
        <x:v>-2.200000000000017</x:v>
      </x:c>
      <x:c r="I121" s="28" t="n">
        <x:v>0</x:v>
      </x:c>
      <x:c r="J121" s="28" t="n">
        <x:v>-2.200000000000017</x:v>
      </x:c>
      <x:c r="K121" s="27"/>
      <x:c r="L121" s="31" t="str">
        <x:v>ADP NOT LOADED</x:v>
      </x:c>
      <x:c r="M121" s="26" t="str">
        <x:v>Projection-only v1.0</x:v>
      </x:c>
    </x:row>
    <x:row r="122">
      <x:c r="A122" s="26" t="n">
        <x:v>118</x:v>
      </x:c>
      <x:c r="B122" s="26" t="n">
        <x:v>6</x:v>
      </x:c>
      <x:c r="C122" s="26" t="n">
        <x:v>54</x:v>
      </x:c>
      <x:c r="D122" s="26" t="str">
        <x:v>Rashid Shaheed</x:v>
      </x:c>
      <x:c r="E122" s="26" t="str">
        <x:v>SEA</x:v>
      </x:c>
      <x:c r="F122" s="26" t="str">
        <x:v>WR</x:v>
      </x:c>
      <x:c r="G122" s="28" t="n">
        <x:v>108</x:v>
      </x:c>
      <x:c r="H122" s="28" t="n">
        <x:v>-2.5999999999999943</x:v>
      </x:c>
      <x:c r="I122" s="28" t="n">
        <x:v>0</x:v>
      </x:c>
      <x:c r="J122" s="28" t="n">
        <x:v>-2.5999999999999943</x:v>
      </x:c>
      <x:c r="K122" s="27"/>
      <x:c r="L122" s="31" t="str">
        <x:v>ADP NOT LOADED</x:v>
      </x:c>
      <x:c r="M122" s="26" t="str">
        <x:v>Projection-only v1.0</x:v>
      </x:c>
    </x:row>
    <x:row r="123">
      <x:c r="A123" s="26" t="n">
        <x:v>119</x:v>
      </x:c>
      <x:c r="B123" s="26" t="n">
        <x:v>6</x:v>
      </x:c>
      <x:c r="C123" s="26" t="n">
        <x:v>52</x:v>
      </x:c>
      <x:c r="D123" s="26" t="str">
        <x:v>Jerry Jeudy</x:v>
      </x:c>
      <x:c r="E123" s="26" t="str">
        <x:v>CLE</x:v>
      </x:c>
      <x:c r="F123" s="26" t="str">
        <x:v>WR</x:v>
      </x:c>
      <x:c r="G123" s="28" t="n">
        <x:v>106.5</x:v>
      </x:c>
      <x:c r="H123" s="28" t="n">
        <x:v>-4.099999999999994</x:v>
      </x:c>
      <x:c r="I123" s="28" t="n">
        <x:v>0</x:v>
      </x:c>
      <x:c r="J123" s="28" t="n">
        <x:v>-4.099999999999994</x:v>
      </x:c>
      <x:c r="K123" s="27"/>
      <x:c r="L123" s="31" t="str">
        <x:v>ADP NOT LOADED</x:v>
      </x:c>
      <x:c r="M123" s="26" t="str">
        <x:v>Projection-only v1.0</x:v>
      </x:c>
    </x:row>
    <x:row r="124">
      <x:c r="A124" s="26" t="n">
        <x:v>120</x:v>
      </x:c>
      <x:c r="B124" s="26" t="n">
        <x:v>6</x:v>
      </x:c>
      <x:c r="C124" s="26" t="n">
        <x:v>15</x:v>
      </x:c>
      <x:c r="D124" s="26" t="str">
        <x:v>Patrick Mahomes</x:v>
      </x:c>
      <x:c r="E124" s="26" t="str">
        <x:v>KC</x:v>
      </x:c>
      <x:c r="F124" s="26" t="str">
        <x:v>QB</x:v>
      </x:c>
      <x:c r="G124" s="28" t="n">
        <x:v>285.3</x:v>
      </x:c>
      <x:c r="H124" s="28" t="n">
        <x:v>-5.300000000000011</x:v>
      </x:c>
      <x:c r="I124" s="28" t="n">
        <x:v>0</x:v>
      </x:c>
      <x:c r="J124" s="28" t="n">
        <x:v>-5.300000000000011</x:v>
      </x:c>
      <x:c r="K124" s="27"/>
      <x:c r="L124" s="31" t="str">
        <x:v>ADP NOT LOADED</x:v>
      </x:c>
      <x:c r="M124" s="26" t="str">
        <x:v>Projection-only v1.0</x:v>
      </x:c>
    </x:row>
    <x:row r="125">
      <x:c r="A125" s="26" t="n">
        <x:v>121</x:v>
      </x:c>
      <x:c r="B125" s="26" t="n">
        <x:v>6</x:v>
      </x:c>
      <x:c r="C125" s="26" t="n">
        <x:v>51</x:v>
      </x:c>
      <x:c r="D125" s="26" t="str">
        <x:v>Khalil Shakir</x:v>
      </x:c>
      <x:c r="E125" s="26" t="str">
        <x:v>BUF</x:v>
      </x:c>
      <x:c r="F125" s="26" t="str">
        <x:v>WR</x:v>
      </x:c>
      <x:c r="G125" s="28" t="n">
        <x:v>105.2</x:v>
      </x:c>
      <x:c r="H125" s="28" t="n">
        <x:v>-5.3999999999999915</x:v>
      </x:c>
      <x:c r="I125" s="28" t="n">
        <x:v>0</x:v>
      </x:c>
      <x:c r="J125" s="28" t="n">
        <x:v>-5.3999999999999915</x:v>
      </x:c>
      <x:c r="K125" s="27"/>
      <x:c r="L125" s="31" t="str">
        <x:v>ADP NOT LOADED</x:v>
      </x:c>
      <x:c r="M125" s="26" t="str">
        <x:v>Projection-only v1.0</x:v>
      </x:c>
    </x:row>
    <x:row r="126">
      <x:c r="A126" s="26" t="n">
        <x:v>122</x:v>
      </x:c>
      <x:c r="B126" s="26" t="n">
        <x:v>6</x:v>
      </x:c>
      <x:c r="C126" s="26" t="n">
        <x:v>38</x:v>
      </x:c>
      <x:c r="D126" s="26" t="str">
        <x:v>RJ Harvey</x:v>
      </x:c>
      <x:c r="E126" s="26" t="str">
        <x:v>DEN</x:v>
      </x:c>
      <x:c r="F126" s="26" t="str">
        <x:v>RB</x:v>
      </x:c>
      <x:c r="G126" s="28" t="n">
        <x:v>118.7</x:v>
      </x:c>
      <x:c r="H126" s="28" t="n">
        <x:v>-5.799999999999997</x:v>
      </x:c>
      <x:c r="I126" s="28" t="n">
        <x:v>0</x:v>
      </x:c>
      <x:c r="J126" s="28" t="n">
        <x:v>-5.799999999999997</x:v>
      </x:c>
      <x:c r="K126" s="27"/>
      <x:c r="L126" s="31" t="str">
        <x:v>ADP NOT LOADED</x:v>
      </x:c>
      <x:c r="M126" s="26" t="str">
        <x:v>Projection-only v1.0</x:v>
      </x:c>
    </x:row>
    <x:row r="127">
      <x:c r="A127" s="26" t="n">
        <x:v>123</x:v>
      </x:c>
      <x:c r="B127" s="26" t="n">
        <x:v>6</x:v>
      </x:c>
      <x:c r="C127" s="26" t="n">
        <x:v>53</x:v>
      </x:c>
      <x:c r="D127" s="26" t="str">
        <x:v>Denzel Boston</x:v>
      </x:c>
      <x:c r="E127" s="26" t="str">
        <x:v>CLE</x:v>
      </x:c>
      <x:c r="F127" s="26" t="str">
        <x:v>WR</x:v>
      </x:c>
      <x:c r="G127" s="28" t="n">
        <x:v>104.1</x:v>
      </x:c>
      <x:c r="H127" s="28" t="n">
        <x:v>-6.5</x:v>
      </x:c>
      <x:c r="I127" s="28" t="n">
        <x:v>0</x:v>
      </x:c>
      <x:c r="J127" s="28" t="n">
        <x:v>-6.5</x:v>
      </x:c>
      <x:c r="K127" s="27"/>
      <x:c r="L127" s="31" t="str">
        <x:v>ADP NOT LOADED</x:v>
      </x:c>
      <x:c r="M127" s="26" t="str">
        <x:v>Projection-only v1.0</x:v>
      </x:c>
    </x:row>
    <x:row r="128">
      <x:c r="A128" s="26" t="n">
        <x:v>124</x:v>
      </x:c>
      <x:c r="B128" s="26" t="n">
        <x:v>6</x:v>
      </x:c>
      <x:c r="C128" s="26" t="n">
        <x:v>55</x:v>
      </x:c>
      <x:c r="D128" s="26" t="str">
        <x:v>Jauan Jennings</x:v>
      </x:c>
      <x:c r="E128" s="26" t="str">
        <x:v>MIN</x:v>
      </x:c>
      <x:c r="F128" s="26" t="str">
        <x:v>WR</x:v>
      </x:c>
      <x:c r="G128" s="28" t="n">
        <x:v>102.6</x:v>
      </x:c>
      <x:c r="H128" s="28" t="n">
        <x:v>-8</x:v>
      </x:c>
      <x:c r="I128" s="28" t="n">
        <x:v>0</x:v>
      </x:c>
      <x:c r="J128" s="28" t="n">
        <x:v>-8</x:v>
      </x:c>
      <x:c r="K128" s="27"/>
      <x:c r="L128" s="31" t="str">
        <x:v>ADP NOT LOADED</x:v>
      </x:c>
      <x:c r="M128" s="26" t="str">
        <x:v>Projection-only v1.0</x:v>
      </x:c>
    </x:row>
    <x:row r="129">
      <x:c r="A129" s="26" t="n">
        <x:v>125</x:v>
      </x:c>
      <x:c r="B129" s="26" t="n">
        <x:v>6</x:v>
      </x:c>
      <x:c r="C129" s="26" t="n">
        <x:v>56</x:v>
      </x:c>
      <x:c r="D129" s="26" t="str">
        <x:v>Tre' Harris</x:v>
      </x:c>
      <x:c r="E129" s="26" t="str">
        <x:v>LAC</x:v>
      </x:c>
      <x:c r="F129" s="26" t="str">
        <x:v>WR</x:v>
      </x:c>
      <x:c r="G129" s="28" t="n">
        <x:v>100.8</x:v>
      </x:c>
      <x:c r="H129" s="28" t="n">
        <x:v>-9.799999999999997</x:v>
      </x:c>
      <x:c r="I129" s="28" t="n">
        <x:v>0</x:v>
      </x:c>
      <x:c r="J129" s="28" t="n">
        <x:v>-9.799999999999997</x:v>
      </x:c>
      <x:c r="K129" s="27"/>
      <x:c r="L129" s="31" t="str">
        <x:v>ADP NOT LOADED</x:v>
      </x:c>
      <x:c r="M129" s="26" t="str">
        <x:v>Projection-only v1.0</x:v>
      </x:c>
    </x:row>
    <x:row r="130">
      <x:c r="A130" s="26" t="n">
        <x:v>126</x:v>
      </x:c>
      <x:c r="B130" s="26" t="n">
        <x:v>6</x:v>
      </x:c>
      <x:c r="C130" s="26" t="n">
        <x:v>59</x:v>
      </x:c>
      <x:c r="D130" s="26" t="str">
        <x:v>Calvin Ridley</x:v>
      </x:c>
      <x:c r="E130" s="26" t="str">
        <x:v>TEN</x:v>
      </x:c>
      <x:c r="F130" s="26" t="str">
        <x:v>WR</x:v>
      </x:c>
      <x:c r="G130" s="28" t="n">
        <x:v>98.8</x:v>
      </x:c>
      <x:c r="H130" s="28" t="n">
        <x:v>-11.799999999999997</x:v>
      </x:c>
      <x:c r="I130" s="28" t="n">
        <x:v>0</x:v>
      </x:c>
      <x:c r="J130" s="28" t="n">
        <x:v>-11.799999999999997</x:v>
      </x:c>
      <x:c r="K130" s="27"/>
      <x:c r="L130" s="31" t="str">
        <x:v>ADP NOT LOADED</x:v>
      </x:c>
      <x:c r="M130" s="26" t="str">
        <x:v>Projection-only v1.0</x:v>
      </x:c>
    </x:row>
    <x:row r="131">
      <x:c r="A131" s="26" t="n">
        <x:v>127</x:v>
      </x:c>
      <x:c r="B131" s="26" t="n">
        <x:v>6</x:v>
      </x:c>
      <x:c r="C131" s="26" t="n">
        <x:v>57</x:v>
      </x:c>
      <x:c r="D131" s="26" t="str">
        <x:v>Keenan Allen</x:v>
      </x:c>
      <x:c r="E131" s="26" t="str">
        <x:v>IND</x:v>
      </x:c>
      <x:c r="F131" s="26" t="str">
        <x:v>WR</x:v>
      </x:c>
      <x:c r="G131" s="28" t="n">
        <x:v>97.2</x:v>
      </x:c>
      <x:c r="H131" s="28" t="n">
        <x:v>-13.399999999999991</x:v>
      </x:c>
      <x:c r="I131" s="28" t="n">
        <x:v>0</x:v>
      </x:c>
      <x:c r="J131" s="28" t="n">
        <x:v>-13.399999999999991</x:v>
      </x:c>
      <x:c r="K131" s="27"/>
      <x:c r="L131" s="31" t="str">
        <x:v>ADP NOT LOADED</x:v>
      </x:c>
      <x:c r="M131" s="26" t="str">
        <x:v>Projection-only v1.0</x:v>
      </x:c>
    </x:row>
    <x:row r="132">
      <x:c r="A132" s="26" t="n">
        <x:v>128</x:v>
      </x:c>
      <x:c r="B132" s="26" t="n">
        <x:v>6</x:v>
      </x:c>
      <x:c r="C132" s="26" t="n">
        <x:v>58</x:v>
      </x:c>
      <x:c r="D132" s="26" t="str">
        <x:v>KC Concepcion</x:v>
      </x:c>
      <x:c r="E132" s="26" t="str">
        <x:v>CLE</x:v>
      </x:c>
      <x:c r="F132" s="26" t="str">
        <x:v>WR</x:v>
      </x:c>
      <x:c r="G132" s="28" t="n">
        <x:v>97</x:v>
      </x:c>
      <x:c r="H132" s="28" t="n">
        <x:v>-13.599999999999994</x:v>
      </x:c>
      <x:c r="I132" s="28" t="n">
        <x:v>0</x:v>
      </x:c>
      <x:c r="J132" s="28" t="n">
        <x:v>-13.599999999999994</x:v>
      </x:c>
      <x:c r="K132" s="27"/>
      <x:c r="L132" s="31" t="str">
        <x:v>ADP NOT LOADED</x:v>
      </x:c>
      <x:c r="M132" s="26" t="str">
        <x:v>Projection-only v1.0</x:v>
      </x:c>
    </x:row>
    <x:row r="133">
      <x:c r="A133" s="26" t="n">
        <x:v>129</x:v>
      </x:c>
      <x:c r="B133" s="26" t="n">
        <x:v>6</x:v>
      </x:c>
      <x:c r="C133" s="26" t="n">
        <x:v>42</x:v>
      </x:c>
      <x:c r="D133" s="26" t="str">
        <x:v>Tyrone Tracy Jr.</x:v>
      </x:c>
      <x:c r="E133" s="26" t="str">
        <x:v>NYG</x:v>
      </x:c>
      <x:c r="F133" s="26" t="str">
        <x:v>RB</x:v>
      </x:c>
      <x:c r="G133" s="28" t="n">
        <x:v>110.2</x:v>
      </x:c>
      <x:c r="H133" s="28" t="n">
        <x:v>-14.299999999999997</x:v>
      </x:c>
      <x:c r="I133" s="28" t="n">
        <x:v>0</x:v>
      </x:c>
      <x:c r="J133" s="28" t="n">
        <x:v>-14.299999999999997</x:v>
      </x:c>
      <x:c r="K133" s="27"/>
      <x:c r="L133" s="31" t="str">
        <x:v>ADP NOT LOADED</x:v>
      </x:c>
      <x:c r="M133" s="26" t="str">
        <x:v>Projection-only v1.0</x:v>
      </x:c>
    </x:row>
    <x:row r="134">
      <x:c r="A134" s="26" t="n">
        <x:v>130</x:v>
      </x:c>
      <x:c r="B134" s="26" t="n">
        <x:v>6</x:v>
      </x:c>
      <x:c r="C134" s="26" t="n">
        <x:v>44</x:v>
      </x:c>
      <x:c r="D134" s="26" t="str">
        <x:v>Chris Rodriguez Jr.</x:v>
      </x:c>
      <x:c r="E134" s="26" t="str">
        <x:v>JAX</x:v>
      </x:c>
      <x:c r="F134" s="26" t="str">
        <x:v>RB</x:v>
      </x:c>
      <x:c r="G134" s="28" t="n">
        <x:v>109.6</x:v>
      </x:c>
      <x:c r="H134" s="28" t="n">
        <x:v>-14.900000000000006</x:v>
      </x:c>
      <x:c r="I134" s="28" t="n">
        <x:v>0</x:v>
      </x:c>
      <x:c r="J134" s="28" t="n">
        <x:v>-14.900000000000006</x:v>
      </x:c>
      <x:c r="K134" s="27"/>
      <x:c r="L134" s="31" t="str">
        <x:v>ADP NOT LOADED</x:v>
      </x:c>
      <x:c r="M134" s="26" t="str">
        <x:v>Projection-only v1.0</x:v>
      </x:c>
    </x:row>
    <x:row r="135">
      <x:c r="A135" s="26" t="n">
        <x:v>131</x:v>
      </x:c>
      <x:c r="B135" s="26" t="n">
        <x:v>7</x:v>
      </x:c>
      <x:c r="C135" s="26" t="n">
        <x:v>60</x:v>
      </x:c>
      <x:c r="D135" s="26" t="str">
        <x:v>Jalen Nailor</x:v>
      </x:c>
      <x:c r="E135" s="26" t="str">
        <x:v>LV</x:v>
      </x:c>
      <x:c r="F135" s="26" t="str">
        <x:v>WR</x:v>
      </x:c>
      <x:c r="G135" s="28" t="n">
        <x:v>95.2</x:v>
      </x:c>
      <x:c r="H135" s="28" t="n">
        <x:v>-15.399999999999991</x:v>
      </x:c>
      <x:c r="I135" s="28" t="n">
        <x:v>0</x:v>
      </x:c>
      <x:c r="J135" s="28" t="n">
        <x:v>-15.399999999999991</x:v>
      </x:c>
      <x:c r="K135" s="27"/>
      <x:c r="L135" s="31" t="str">
        <x:v>ADP NOT LOADED</x:v>
      </x:c>
      <x:c r="M135" s="26" t="str">
        <x:v>Projection-only v1.0</x:v>
      </x:c>
    </x:row>
    <x:row r="136">
      <x:c r="A136" s="26" t="n">
        <x:v>132</x:v>
      </x:c>
      <x:c r="B136" s="26" t="n">
        <x:v>7</x:v>
      </x:c>
      <x:c r="C136" s="26" t="n">
        <x:v>16</x:v>
      </x:c>
      <x:c r="D136" s="26" t="str">
        <x:v>Baker Mayfield</x:v>
      </x:c>
      <x:c r="E136" s="26" t="str">
        <x:v>TB</x:v>
      </x:c>
      <x:c r="F136" s="26" t="str">
        <x:v>QB</x:v>
      </x:c>
      <x:c r="G136" s="28" t="n">
        <x:v>275.2</x:v>
      </x:c>
      <x:c r="H136" s="28" t="n">
        <x:v>-15.400000000000034</x:v>
      </x:c>
      <x:c r="I136" s="28" t="n">
        <x:v>0</x:v>
      </x:c>
      <x:c r="J136" s="28" t="n">
        <x:v>-15.400000000000034</x:v>
      </x:c>
      <x:c r="K136" s="27"/>
      <x:c r="L136" s="31" t="str">
        <x:v>ADP NOT LOADED</x:v>
      </x:c>
      <x:c r="M136" s="26" t="str">
        <x:v>Projection-only v1.0</x:v>
      </x:c>
    </x:row>
    <x:row r="137">
      <x:c r="A137" s="26" t="n">
        <x:v>133</x:v>
      </x:c>
      <x:c r="B137" s="26" t="n">
        <x:v>7</x:v>
      </x:c>
      <x:c r="C137" s="26" t="n">
        <x:v>15</x:v>
      </x:c>
      <x:c r="D137" s="26" t="str">
        <x:v>Brenton Strange</x:v>
      </x:c>
      <x:c r="E137" s="26" t="str">
        <x:v>JAX</x:v>
      </x:c>
      <x:c r="F137" s="26" t="str">
        <x:v>TE</x:v>
      </x:c>
      <x:c r="G137" s="28" t="n">
        <x:v>127.2</x:v>
      </x:c>
      <x:c r="H137" s="28" t="n">
        <x:v>-16.10000000000001</x:v>
      </x:c>
      <x:c r="I137" s="28" t="n">
        <x:v>0</x:v>
      </x:c>
      <x:c r="J137" s="28" t="n">
        <x:v>-16.10000000000001</x:v>
      </x:c>
      <x:c r="K137" s="27"/>
      <x:c r="L137" s="31" t="str">
        <x:v>ADP NOT LOADED</x:v>
      </x:c>
      <x:c r="M137" s="26" t="str">
        <x:v>Projection-only v1.0</x:v>
      </x:c>
    </x:row>
    <x:row r="138">
      <x:c r="A138" s="26" t="n">
        <x:v>134</x:v>
      </x:c>
      <x:c r="B138" s="26" t="n">
        <x:v>7</x:v>
      </x:c>
      <x:c r="C138" s="26" t="n">
        <x:v>17</x:v>
      </x:c>
      <x:c r="D138" s="26" t="str">
        <x:v>Matthew Stafford</x:v>
      </x:c>
      <x:c r="E138" s="26" t="str">
        <x:v>LAR</x:v>
      </x:c>
      <x:c r="F138" s="26" t="str">
        <x:v>QB</x:v>
      </x:c>
      <x:c r="G138" s="28" t="n">
        <x:v>273.1</x:v>
      </x:c>
      <x:c r="H138" s="28" t="n">
        <x:v>-17.5</x:v>
      </x:c>
      <x:c r="I138" s="28" t="n">
        <x:v>0</x:v>
      </x:c>
      <x:c r="J138" s="28" t="n">
        <x:v>-17.5</x:v>
      </x:c>
      <x:c r="K138" s="27"/>
      <x:c r="L138" s="31" t="str">
        <x:v>ADP NOT LOADED</x:v>
      </x:c>
      <x:c r="M138" s="26" t="str">
        <x:v>Projection-only v1.0</x:v>
      </x:c>
    </x:row>
    <x:row r="139">
      <x:c r="A139" s="26" t="n">
        <x:v>135</x:v>
      </x:c>
      <x:c r="B139" s="26" t="n">
        <x:v>7</x:v>
      </x:c>
      <x:c r="C139" s="26" t="n">
        <x:v>16</x:v>
      </x:c>
      <x:c r="D139" s="26" t="str">
        <x:v>Hunter Henry</x:v>
      </x:c>
      <x:c r="E139" s="26" t="str">
        <x:v>NE</x:v>
      </x:c>
      <x:c r="F139" s="26" t="str">
        <x:v>TE</x:v>
      </x:c>
      <x:c r="G139" s="28" t="n">
        <x:v>125.3</x:v>
      </x:c>
      <x:c r="H139" s="28" t="n">
        <x:v>-18.000000000000014</x:v>
      </x:c>
      <x:c r="I139" s="28" t="n">
        <x:v>0</x:v>
      </x:c>
      <x:c r="J139" s="28" t="n">
        <x:v>-18.000000000000014</x:v>
      </x:c>
      <x:c r="K139" s="27"/>
      <x:c r="L139" s="31" t="str">
        <x:v>ADP NOT LOADED</x:v>
      </x:c>
      <x:c r="M139" s="26" t="str">
        <x:v>Projection-only v1.0</x:v>
      </x:c>
    </x:row>
    <x:row r="140">
      <x:c r="A140" s="26" t="n">
        <x:v>136</x:v>
      </x:c>
      <x:c r="B140" s="26" t="n">
        <x:v>7</x:v>
      </x:c>
      <x:c r="C140" s="26" t="n">
        <x:v>41</x:v>
      </x:c>
      <x:c r="D140" s="26" t="str">
        <x:v>Tyjae Spears</x:v>
      </x:c>
      <x:c r="E140" s="26" t="str">
        <x:v>TEN</x:v>
      </x:c>
      <x:c r="F140" s="26" t="str">
        <x:v>RB</x:v>
      </x:c>
      <x:c r="G140" s="28" t="n">
        <x:v>105.4</x:v>
      </x:c>
      <x:c r="H140" s="28" t="n">
        <x:v>-19.099999999999994</x:v>
      </x:c>
      <x:c r="I140" s="28" t="n">
        <x:v>0</x:v>
      </x:c>
      <x:c r="J140" s="28" t="n">
        <x:v>-19.099999999999994</x:v>
      </x:c>
      <x:c r="K140" s="27"/>
      <x:c r="L140" s="31" t="str">
        <x:v>ADP NOT LOADED</x:v>
      </x:c>
      <x:c r="M140" s="26" t="str">
        <x:v>Projection-only v1.0</x:v>
      </x:c>
    </x:row>
    <x:row r="141">
      <x:c r="A141" s="26" t="n">
        <x:v>137</x:v>
      </x:c>
      <x:c r="B141" s="26" t="n">
        <x:v>7</x:v>
      </x:c>
      <x:c r="C141" s="26" t="n">
        <x:v>43</x:v>
      </x:c>
      <x:c r="D141" s="26" t="str">
        <x:v>Rachaad White</x:v>
      </x:c>
      <x:c r="E141" s="26" t="str">
        <x:v>WAS</x:v>
      </x:c>
      <x:c r="F141" s="26" t="str">
        <x:v>RB</x:v>
      </x:c>
      <x:c r="G141" s="28" t="n">
        <x:v>104.6</x:v>
      </x:c>
      <x:c r="H141" s="28" t="n">
        <x:v>-19.900000000000006</x:v>
      </x:c>
      <x:c r="I141" s="28" t="n">
        <x:v>0</x:v>
      </x:c>
      <x:c r="J141" s="28" t="n">
        <x:v>-19.900000000000006</x:v>
      </x:c>
      <x:c r="K141" s="27"/>
      <x:c r="L141" s="31" t="str">
        <x:v>ADP NOT LOADED</x:v>
      </x:c>
      <x:c r="M141" s="26" t="str">
        <x:v>Projection-only v1.0</x:v>
      </x:c>
    </x:row>
    <x:row r="142">
      <x:c r="A142" s="26" t="n">
        <x:v>138</x:v>
      </x:c>
      <x:c r="B142" s="26" t="n">
        <x:v>7</x:v>
      </x:c>
      <x:c r="C142" s="26" t="n">
        <x:v>46</x:v>
      </x:c>
      <x:c r="D142" s="26" t="str">
        <x:v>Zach Charbonnet</x:v>
      </x:c>
      <x:c r="E142" s="26" t="str">
        <x:v>SEA</x:v>
      </x:c>
      <x:c r="F142" s="26" t="str">
        <x:v>RB</x:v>
      </x:c>
      <x:c r="G142" s="28" t="n">
        <x:v>104.3</x:v>
      </x:c>
      <x:c r="H142" s="28" t="n">
        <x:v>-20.200000000000003</x:v>
      </x:c>
      <x:c r="I142" s="28" t="n">
        <x:v>0</x:v>
      </x:c>
      <x:c r="J142" s="28" t="n">
        <x:v>-20.200000000000003</x:v>
      </x:c>
      <x:c r="K142" s="27"/>
      <x:c r="L142" s="31" t="str">
        <x:v>ADP NOT LOADED</x:v>
      </x:c>
      <x:c r="M142" s="26" t="str">
        <x:v>Projection-only v1.0</x:v>
      </x:c>
    </x:row>
    <x:row r="143">
      <x:c r="A143" s="26" t="n">
        <x:v>139</x:v>
      </x:c>
      <x:c r="B143" s="26" t="n">
        <x:v>7</x:v>
      </x:c>
      <x:c r="C143" s="26" t="n">
        <x:v>45</x:v>
      </x:c>
      <x:c r="D143" s="26" t="str">
        <x:v>Mike Washington Jr.</x:v>
      </x:c>
      <x:c r="E143" s="26" t="str">
        <x:v>LV</x:v>
      </x:c>
      <x:c r="F143" s="26" t="str">
        <x:v>RB</x:v>
      </x:c>
      <x:c r="G143" s="28" t="n">
        <x:v>103.6</x:v>
      </x:c>
      <x:c r="H143" s="28" t="n">
        <x:v>-20.900000000000006</x:v>
      </x:c>
      <x:c r="I143" s="28" t="n">
        <x:v>0</x:v>
      </x:c>
      <x:c r="J143" s="28" t="n">
        <x:v>-20.900000000000006</x:v>
      </x:c>
      <x:c r="K143" s="27"/>
      <x:c r="L143" s="31" t="str">
        <x:v>ADP NOT LOADED</x:v>
      </x:c>
      <x:c r="M143" s="26" t="str">
        <x:v>Projection-only v1.0</x:v>
      </x:c>
    </x:row>
    <x:row r="144">
      <x:c r="A144" s="26" t="n">
        <x:v>140</x:v>
      </x:c>
      <x:c r="B144" s="26" t="n">
        <x:v>7</x:v>
      </x:c>
      <x:c r="C144" s="26" t="n">
        <x:v>61</x:v>
      </x:c>
      <x:c r="D144" s="26" t="str">
        <x:v>Makai Lemon</x:v>
      </x:c>
      <x:c r="E144" s="26" t="str">
        <x:v>PHI</x:v>
      </x:c>
      <x:c r="F144" s="26" t="str">
        <x:v>WR</x:v>
      </x:c>
      <x:c r="G144" s="28" t="n">
        <x:v>89.3</x:v>
      </x:c>
      <x:c r="H144" s="28" t="n">
        <x:v>-21.299999999999997</x:v>
      </x:c>
      <x:c r="I144" s="28" t="n">
        <x:v>0</x:v>
      </x:c>
      <x:c r="J144" s="28" t="n">
        <x:v>-21.299999999999997</x:v>
      </x:c>
      <x:c r="K144" s="27"/>
      <x:c r="L144" s="31" t="str">
        <x:v>ADP NOT LOADED</x:v>
      </x:c>
      <x:c r="M144" s="26" t="str">
        <x:v>Projection-only v1.0</x:v>
      </x:c>
    </x:row>
    <x:row r="145">
      <x:c r="A145" s="26" t="n">
        <x:v>141</x:v>
      </x:c>
      <x:c r="B145" s="26" t="n">
        <x:v>7</x:v>
      </x:c>
      <x:c r="C145" s="26" t="n">
        <x:v>49</x:v>
      </x:c>
      <x:c r="D145" s="26" t="str">
        <x:v>Emmett Johnson</x:v>
      </x:c>
      <x:c r="E145" s="26" t="str">
        <x:v>KC</x:v>
      </x:c>
      <x:c r="F145" s="26" t="str">
        <x:v>RB</x:v>
      </x:c>
      <x:c r="G145" s="28" t="n">
        <x:v>103</x:v>
      </x:c>
      <x:c r="H145" s="28" t="n">
        <x:v>-21.5</x:v>
      </x:c>
      <x:c r="I145" s="28" t="n">
        <x:v>0</x:v>
      </x:c>
      <x:c r="J145" s="28" t="n">
        <x:v>-21.5</x:v>
      </x:c>
      <x:c r="K145" s="27"/>
      <x:c r="L145" s="31" t="str">
        <x:v>ADP NOT LOADED</x:v>
      </x:c>
      <x:c r="M145" s="26" t="str">
        <x:v>Projection-only v1.0</x:v>
      </x:c>
    </x:row>
    <x:row r="146">
      <x:c r="A146" s="26" t="n">
        <x:v>142</x:v>
      </x:c>
      <x:c r="B146" s="26" t="n">
        <x:v>7</x:v>
      </x:c>
      <x:c r="C146" s="26" t="n">
        <x:v>18</x:v>
      </x:c>
      <x:c r="D146" s="26" t="str">
        <x:v>Tyler Shough</x:v>
      </x:c>
      <x:c r="E146" s="26" t="str">
        <x:v>NO</x:v>
      </x:c>
      <x:c r="F146" s="26" t="str">
        <x:v>QB</x:v>
      </x:c>
      <x:c r="G146" s="28" t="n">
        <x:v>268.9</x:v>
      </x:c>
      <x:c r="H146" s="28" t="n">
        <x:v>-21.700000000000045</x:v>
      </x:c>
      <x:c r="I146" s="28" t="n">
        <x:v>0</x:v>
      </x:c>
      <x:c r="J146" s="28" t="n">
        <x:v>-21.700000000000045</x:v>
      </x:c>
      <x:c r="K146" s="27"/>
      <x:c r="L146" s="31" t="str">
        <x:v>ADP NOT LOADED</x:v>
      </x:c>
      <x:c r="M146" s="26" t="str">
        <x:v>Projection-only v1.0</x:v>
      </x:c>
    </x:row>
    <x:row r="147">
      <x:c r="A147" s="26" t="n">
        <x:v>143</x:v>
      </x:c>
      <x:c r="B147" s="26" t="n">
        <x:v>7</x:v>
      </x:c>
      <x:c r="C147" s="26" t="n">
        <x:v>19</x:v>
      </x:c>
      <x:c r="D147" s="26" t="str">
        <x:v>Jordan Love</x:v>
      </x:c>
      <x:c r="E147" s="26" t="str">
        <x:v>GB</x:v>
      </x:c>
      <x:c r="F147" s="26" t="str">
        <x:v>QB</x:v>
      </x:c>
      <x:c r="G147" s="28" t="n">
        <x:v>268.8</x:v>
      </x:c>
      <x:c r="H147" s="28" t="n">
        <x:v>-21.80000000000001</x:v>
      </x:c>
      <x:c r="I147" s="28" t="n">
        <x:v>0</x:v>
      </x:c>
      <x:c r="J147" s="28" t="n">
        <x:v>-21.80000000000001</x:v>
      </x:c>
      <x:c r="K147" s="27"/>
      <x:c r="L147" s="31" t="str">
        <x:v>ADP NOT LOADED</x:v>
      </x:c>
      <x:c r="M147" s="26" t="str">
        <x:v>Projection-only v1.0</x:v>
      </x:c>
    </x:row>
    <x:row r="148">
      <x:c r="A148" s="26" t="n">
        <x:v>144</x:v>
      </x:c>
      <x:c r="B148" s="26" t="n">
        <x:v>7</x:v>
      </x:c>
      <x:c r="C148" s="26" t="n">
        <x:v>50</x:v>
      </x:c>
      <x:c r="D148" s="26" t="str">
        <x:v>Isiah Pacheco</x:v>
      </x:c>
      <x:c r="E148" s="26" t="str">
        <x:v>DET</x:v>
      </x:c>
      <x:c r="F148" s="26" t="str">
        <x:v>RB</x:v>
      </x:c>
      <x:c r="G148" s="28" t="n">
        <x:v>100.5</x:v>
      </x:c>
      <x:c r="H148" s="28" t="n">
        <x:v>-24</x:v>
      </x:c>
      <x:c r="I148" s="28" t="n">
        <x:v>0</x:v>
      </x:c>
      <x:c r="J148" s="28" t="n">
        <x:v>-24</x:v>
      </x:c>
      <x:c r="K148" s="27"/>
      <x:c r="L148" s="31" t="str">
        <x:v>ADP NOT LOADED</x:v>
      </x:c>
      <x:c r="M148" s="26" t="str">
        <x:v>Projection-only v1.0</x:v>
      </x:c>
    </x:row>
    <x:row r="149">
      <x:c r="A149" s="26" t="n">
        <x:v>145</x:v>
      </x:c>
      <x:c r="B149" s="26" t="n">
        <x:v>7</x:v>
      </x:c>
      <x:c r="C149" s="26" t="n">
        <x:v>65</x:v>
      </x:c>
      <x:c r="D149" s="26" t="str">
        <x:v>Deebo Samuel Sr.</x:v>
      </x:c>
      <x:c r="E149" s="26" t="str">
        <x:v>SF</x:v>
      </x:c>
      <x:c r="F149" s="26" t="str">
        <x:v>WR</x:v>
      </x:c>
      <x:c r="G149" s="28" t="n">
        <x:v>85.4</x:v>
      </x:c>
      <x:c r="H149" s="28" t="n">
        <x:v>-25.19999999999999</x:v>
      </x:c>
      <x:c r="I149" s="28" t="n">
        <x:v>0</x:v>
      </x:c>
      <x:c r="J149" s="28" t="n">
        <x:v>-25.19999999999999</x:v>
      </x:c>
      <x:c r="K149" s="27"/>
      <x:c r="L149" s="31" t="str">
        <x:v>ADP NOT LOADED</x:v>
      </x:c>
      <x:c r="M149" s="26" t="str">
        <x:v>Projection-only v1.0</x:v>
      </x:c>
    </x:row>
    <x:row r="150">
      <x:c r="A150" s="26" t="n">
        <x:v>146</x:v>
      </x:c>
      <x:c r="B150" s="26" t="n">
        <x:v>7</x:v>
      </x:c>
      <x:c r="C150" s="26" t="n">
        <x:v>48</x:v>
      </x:c>
      <x:c r="D150" s="26" t="str">
        <x:v>Woody Marks</x:v>
      </x:c>
      <x:c r="E150" s="26" t="str">
        <x:v>HOU</x:v>
      </x:c>
      <x:c r="F150" s="26" t="str">
        <x:v>RB</x:v>
      </x:c>
      <x:c r="G150" s="28" t="n">
        <x:v>98.4</x:v>
      </x:c>
      <x:c r="H150" s="28" t="n">
        <x:v>-26.099999999999994</x:v>
      </x:c>
      <x:c r="I150" s="28" t="n">
        <x:v>0</x:v>
      </x:c>
      <x:c r="J150" s="28" t="n">
        <x:v>-26.099999999999994</x:v>
      </x:c>
      <x:c r="K150" s="27"/>
      <x:c r="L150" s="31" t="str">
        <x:v>ADP NOT LOADED</x:v>
      </x:c>
      <x:c r="M150" s="26" t="str">
        <x:v>Projection-only v1.0</x:v>
      </x:c>
    </x:row>
    <x:row r="151">
      <x:c r="A151" s="26" t="n">
        <x:v>147</x:v>
      </x:c>
      <x:c r="B151" s="26" t="n">
        <x:v>7</x:v>
      </x:c>
      <x:c r="C151" s="26" t="n">
        <x:v>64</x:v>
      </x:c>
      <x:c r="D151" s="26" t="str">
        <x:v>Jayden Higgins</x:v>
      </x:c>
      <x:c r="E151" s="26" t="str">
        <x:v>HOU</x:v>
      </x:c>
      <x:c r="F151" s="26" t="str">
        <x:v>WR</x:v>
      </x:c>
      <x:c r="G151" s="28" t="n">
        <x:v>83.9</x:v>
      </x:c>
      <x:c r="H151" s="28" t="n">
        <x:v>-26.69999999999999</x:v>
      </x:c>
      <x:c r="I151" s="28" t="n">
        <x:v>0</x:v>
      </x:c>
      <x:c r="J151" s="28" t="n">
        <x:v>-26.69999999999999</x:v>
      </x:c>
      <x:c r="K151" s="27"/>
      <x:c r="L151" s="31" t="str">
        <x:v>ADP NOT LOADED</x:v>
      </x:c>
      <x:c r="M151" s="26" t="str">
        <x:v>Projection-only v1.0</x:v>
      </x:c>
    </x:row>
    <x:row r="152">
      <x:c r="A152" s="26" t="n">
        <x:v>148</x:v>
      </x:c>
      <x:c r="B152" s="26" t="n">
        <x:v>7</x:v>
      </x:c>
      <x:c r="C152" s="26" t="n">
        <x:v>20</x:v>
      </x:c>
      <x:c r="D152" s="26" t="str">
        <x:v>Kyler Murray</x:v>
      </x:c>
      <x:c r="E152" s="26" t="str">
        <x:v>MIN</x:v>
      </x:c>
      <x:c r="F152" s="26" t="str">
        <x:v>QB</x:v>
      </x:c>
      <x:c r="G152" s="28" t="n">
        <x:v>263.7</x:v>
      </x:c>
      <x:c r="H152" s="28" t="n">
        <x:v>-26.900000000000034</x:v>
      </x:c>
      <x:c r="I152" s="28" t="n">
        <x:v>0</x:v>
      </x:c>
      <x:c r="J152" s="28" t="n">
        <x:v>-26.900000000000034</x:v>
      </x:c>
      <x:c r="K152" s="27"/>
      <x:c r="L152" s="31" t="str">
        <x:v>ADP NOT LOADED</x:v>
      </x:c>
      <x:c r="M152" s="26" t="str">
        <x:v>Projection-only v1.0</x:v>
      </x:c>
    </x:row>
    <x:row r="153">
      <x:c r="A153" s="26" t="n">
        <x:v>149</x:v>
      </x:c>
      <x:c r="B153" s="26" t="n">
        <x:v>7</x:v>
      </x:c>
      <x:c r="C153" s="26" t="n">
        <x:v>47</x:v>
      </x:c>
      <x:c r="D153" s="26" t="str">
        <x:v>Alvin Kamara</x:v>
      </x:c>
      <x:c r="E153" s="26" t="str">
        <x:v>NO</x:v>
      </x:c>
      <x:c r="F153" s="26" t="str">
        <x:v>RB</x:v>
      </x:c>
      <x:c r="G153" s="28" t="n">
        <x:v>96.2</x:v>
      </x:c>
      <x:c r="H153" s="28" t="n">
        <x:v>-28.299999999999997</x:v>
      </x:c>
      <x:c r="I153" s="28" t="n">
        <x:v>0</x:v>
      </x:c>
      <x:c r="J153" s="28" t="n">
        <x:v>-28.299999999999997</x:v>
      </x:c>
      <x:c r="K153" s="27"/>
      <x:c r="L153" s="31" t="str">
        <x:v>ADP NOT LOADED</x:v>
      </x:c>
      <x:c r="M153" s="26" t="str">
        <x:v>Projection-only v1.0</x:v>
      </x:c>
    </x:row>
    <x:row r="154">
      <x:c r="A154" s="26" t="n">
        <x:v>150</x:v>
      </x:c>
      <x:c r="B154" s="26" t="n">
        <x:v>7</x:v>
      </x:c>
      <x:c r="C154" s="26" t="n">
        <x:v>67</x:v>
      </x:c>
      <x:c r="D154" s="26" t="str">
        <x:v>Romeo Doubs</x:v>
      </x:c>
      <x:c r="E154" s="26" t="str">
        <x:v>NE</x:v>
      </x:c>
      <x:c r="F154" s="26" t="str">
        <x:v>WR</x:v>
      </x:c>
      <x:c r="G154" s="28" t="n">
        <x:v>82.2</x:v>
      </x:c>
      <x:c r="H154" s="28" t="n">
        <x:v>-28.39999999999999</x:v>
      </x:c>
      <x:c r="I154" s="28" t="n">
        <x:v>0</x:v>
      </x:c>
      <x:c r="J154" s="28" t="n">
        <x:v>-28.39999999999999</x:v>
      </x:c>
      <x:c r="K154" s="27"/>
      <x:c r="L154" s="31" t="str">
        <x:v>ADP NOT LOADED</x:v>
      </x:c>
      <x:c r="M154" s="26" t="str">
        <x:v>Projection-only v1.0</x:v>
      </x:c>
    </x:row>
    <x:row r="155">
      <x:c r="A155" s="26" t="n">
        <x:v>151</x:v>
      </x:c>
      <x:c r="B155" s="26" t="n">
        <x:v>7</x:v>
      </x:c>
      <x:c r="C155" s="26" t="n">
        <x:v>63</x:v>
      </x:c>
      <x:c r="D155" s="26" t="str">
        <x:v>Zachariah Branch</x:v>
      </x:c>
      <x:c r="E155" s="26" t="str">
        <x:v>ATL</x:v>
      </x:c>
      <x:c r="F155" s="26" t="str">
        <x:v>WR</x:v>
      </x:c>
      <x:c r="G155" s="28" t="n">
        <x:v>82</x:v>
      </x:c>
      <x:c r="H155" s="28" t="n">
        <x:v>-28.599999999999994</x:v>
      </x:c>
      <x:c r="I155" s="28" t="n">
        <x:v>0</x:v>
      </x:c>
      <x:c r="J155" s="28" t="n">
        <x:v>-28.599999999999994</x:v>
      </x:c>
      <x:c r="K155" s="27"/>
      <x:c r="L155" s="31" t="str">
        <x:v>ADP NOT LOADED</x:v>
      </x:c>
      <x:c r="M155" s="26" t="str">
        <x:v>Projection-only v1.0</x:v>
      </x:c>
    </x:row>
    <x:row r="156">
      <x:c r="A156" s="26" t="n">
        <x:v>152</x:v>
      </x:c>
      <x:c r="B156" s="26" t="n">
        <x:v>7</x:v>
      </x:c>
      <x:c r="C156" s="26" t="n">
        <x:v>62</x:v>
      </x:c>
      <x:c r="D156" s="26" t="str">
        <x:v>John Metchie III</x:v>
      </x:c>
      <x:c r="E156" s="26" t="str">
        <x:v>CAR</x:v>
      </x:c>
      <x:c r="F156" s="26" t="str">
        <x:v>WR</x:v>
      </x:c>
      <x:c r="G156" s="28" t="n">
        <x:v>81.6</x:v>
      </x:c>
      <x:c r="H156" s="28" t="n">
        <x:v>-29</x:v>
      </x:c>
      <x:c r="I156" s="28" t="n">
        <x:v>0</x:v>
      </x:c>
      <x:c r="J156" s="28" t="n">
        <x:v>-29</x:v>
      </x:c>
      <x:c r="K156" s="27"/>
      <x:c r="L156" s="31" t="str">
        <x:v>ADP NOT LOADED</x:v>
      </x:c>
      <x:c r="M156" s="26" t="str">
        <x:v>Projection-only v1.0</x:v>
      </x:c>
    </x:row>
    <x:row r="157">
      <x:c r="A157" s="26" t="n">
        <x:v>153</x:v>
      </x:c>
      <x:c r="B157" s="26" t="n">
        <x:v>7</x:v>
      </x:c>
      <x:c r="C157" s="26" t="n">
        <x:v>18</x:v>
      </x:c>
      <x:c r="D157" s="26" t="str">
        <x:v>George Kittle</x:v>
      </x:c>
      <x:c r="E157" s="26" t="str">
        <x:v>SF</x:v>
      </x:c>
      <x:c r="F157" s="26" t="str">
        <x:v>TE</x:v>
      </x:c>
      <x:c r="G157" s="28" t="n">
        <x:v>113.6</x:v>
      </x:c>
      <x:c r="H157" s="28" t="n">
        <x:v>-29.700000000000017</x:v>
      </x:c>
      <x:c r="I157" s="28" t="n">
        <x:v>0</x:v>
      </x:c>
      <x:c r="J157" s="28" t="n">
        <x:v>-29.700000000000017</x:v>
      </x:c>
      <x:c r="K157" s="27"/>
      <x:c r="L157" s="31" t="str">
        <x:v>ADP NOT LOADED</x:v>
      </x:c>
      <x:c r="M157" s="26" t="str">
        <x:v>Projection-only v1.0</x:v>
      </x:c>
    </x:row>
    <x:row r="158">
      <x:c r="A158" s="26" t="n">
        <x:v>154</x:v>
      </x:c>
      <x:c r="B158" s="26" t="n">
        <x:v>7</x:v>
      </x:c>
      <x:c r="C158" s="26" t="n">
        <x:v>68</x:v>
      </x:c>
      <x:c r="D158" s="26" t="str">
        <x:v>Tank Dell</x:v>
      </x:c>
      <x:c r="E158" s="26" t="str">
        <x:v>HOU</x:v>
      </x:c>
      <x:c r="F158" s="26" t="str">
        <x:v>WR</x:v>
      </x:c>
      <x:c r="G158" s="28" t="n">
        <x:v>80.8</x:v>
      </x:c>
      <x:c r="H158" s="28" t="n">
        <x:v>-29.799999999999997</x:v>
      </x:c>
      <x:c r="I158" s="28" t="n">
        <x:v>0</x:v>
      </x:c>
      <x:c r="J158" s="28" t="n">
        <x:v>-29.799999999999997</x:v>
      </x:c>
      <x:c r="K158" s="27"/>
      <x:c r="L158" s="31" t="str">
        <x:v>ADP NOT LOADED</x:v>
      </x:c>
      <x:c r="M158" s="26" t="str">
        <x:v>Projection-only v1.0</x:v>
      </x:c>
    </x:row>
    <x:row r="159">
      <x:c r="A159" s="26" t="n">
        <x:v>155</x:v>
      </x:c>
      <x:c r="B159" s="26" t="n">
        <x:v>7</x:v>
      </x:c>
      <x:c r="C159" s="26" t="n">
        <x:v>52</x:v>
      </x:c>
      <x:c r="D159" s="26" t="str">
        <x:v>Tyler Allgeier</x:v>
      </x:c>
      <x:c r="E159" s="26" t="str">
        <x:v>ARI</x:v>
      </x:c>
      <x:c r="F159" s="26" t="str">
        <x:v>RB</x:v>
      </x:c>
      <x:c r="G159" s="28" t="n">
        <x:v>94.5</x:v>
      </x:c>
      <x:c r="H159" s="28" t="n">
        <x:v>-30</x:v>
      </x:c>
      <x:c r="I159" s="28" t="n">
        <x:v>0</x:v>
      </x:c>
      <x:c r="J159" s="28" t="n">
        <x:v>-30</x:v>
      </x:c>
      <x:c r="K159" s="27"/>
      <x:c r="L159" s="31" t="str">
        <x:v>ADP NOT LOADED</x:v>
      </x:c>
      <x:c r="M159" s="26" t="str">
        <x:v>Projection-only v1.0</x:v>
      </x:c>
    </x:row>
    <x:row r="160">
      <x:c r="A160" s="26" t="n">
        <x:v>156</x:v>
      </x:c>
      <x:c r="B160" s="26" t="n">
        <x:v>7</x:v>
      </x:c>
      <x:c r="C160" s="26" t="n">
        <x:v>66</x:v>
      </x:c>
      <x:c r="D160" s="26" t="str">
        <x:v>Jalen Coker</x:v>
      </x:c>
      <x:c r="E160" s="26" t="str">
        <x:v>CAR</x:v>
      </x:c>
      <x:c r="F160" s="26" t="str">
        <x:v>WR</x:v>
      </x:c>
      <x:c r="G160" s="28" t="n">
        <x:v>80.6</x:v>
      </x:c>
      <x:c r="H160" s="28" t="n">
        <x:v>-30</x:v>
      </x:c>
      <x:c r="I160" s="28" t="n">
        <x:v>0</x:v>
      </x:c>
      <x:c r="J160" s="28" t="n">
        <x:v>-30</x:v>
      </x:c>
      <x:c r="K160" s="27"/>
      <x:c r="L160" s="31" t="str">
        <x:v>ADP NOT LOADED</x:v>
      </x:c>
      <x:c r="M160" s="26" t="str">
        <x:v>Projection-only v1.0</x:v>
      </x:c>
    </x:row>
    <x:row r="161">
      <x:c r="A161" s="26" t="n">
        <x:v>157</x:v>
      </x:c>
      <x:c r="B161" s="26" t="n">
        <x:v>7</x:v>
      </x:c>
      <x:c r="C161" s="26" t="n">
        <x:v>51</x:v>
      </x:c>
      <x:c r="D161" s="26" t="str">
        <x:v>Nicholas Singleton</x:v>
      </x:c>
      <x:c r="E161" s="26" t="str">
        <x:v>TEN</x:v>
      </x:c>
      <x:c r="F161" s="26" t="str">
        <x:v>RB</x:v>
      </x:c>
      <x:c r="G161" s="28" t="n">
        <x:v>93.7</x:v>
      </x:c>
      <x:c r="H161" s="28" t="n">
        <x:v>-30.799999999999997</x:v>
      </x:c>
      <x:c r="I161" s="28" t="n">
        <x:v>0</x:v>
      </x:c>
      <x:c r="J161" s="28" t="n">
        <x:v>-30.799999999999997</x:v>
      </x:c>
      <x:c r="K161" s="27"/>
      <x:c r="L161" s="31" t="str">
        <x:v>ADP NOT LOADED</x:v>
      </x:c>
      <x:c r="M161" s="26" t="str">
        <x:v>Projection-only v1.0</x:v>
      </x:c>
    </x:row>
    <x:row r="162">
      <x:c r="A162" s="26" t="n">
        <x:v>158</x:v>
      </x:c>
      <x:c r="B162" s="26" t="n">
        <x:v>7</x:v>
      </x:c>
      <x:c r="C162" s="26" t="n">
        <x:v>70</x:v>
      </x:c>
      <x:c r="D162" s="26" t="str">
        <x:v>Jalen McMillan</x:v>
      </x:c>
      <x:c r="E162" s="26" t="str">
        <x:v>TB</x:v>
      </x:c>
      <x:c r="F162" s="26" t="str">
        <x:v>WR</x:v>
      </x:c>
      <x:c r="G162" s="28" t="n">
        <x:v>79.5</x:v>
      </x:c>
      <x:c r="H162" s="28" t="n">
        <x:v>-31.099999999999994</x:v>
      </x:c>
      <x:c r="I162" s="28" t="n">
        <x:v>0</x:v>
      </x:c>
      <x:c r="J162" s="28" t="n">
        <x:v>-31.099999999999994</x:v>
      </x:c>
      <x:c r="K162" s="27"/>
      <x:c r="L162" s="31" t="str">
        <x:v>ADP NOT LOADED</x:v>
      </x:c>
      <x:c r="M162" s="26" t="str">
        <x:v>Projection-only v1.0</x:v>
      </x:c>
    </x:row>
    <x:row r="163">
      <x:c r="A163" s="26" t="n">
        <x:v>159</x:v>
      </x:c>
      <x:c r="B163" s="26" t="n">
        <x:v>7</x:v>
      </x:c>
      <x:c r="C163" s="26" t="n">
        <x:v>21</x:v>
      </x:c>
      <x:c r="D163" s="26" t="str">
        <x:v>Malik Willis</x:v>
      </x:c>
      <x:c r="E163" s="26" t="str">
        <x:v>MIA</x:v>
      </x:c>
      <x:c r="F163" s="26" t="str">
        <x:v>QB</x:v>
      </x:c>
      <x:c r="G163" s="28" t="n">
        <x:v>259.4</x:v>
      </x:c>
      <x:c r="H163" s="28" t="n">
        <x:v>-31.200000000000045</x:v>
      </x:c>
      <x:c r="I163" s="28" t="n">
        <x:v>0</x:v>
      </x:c>
      <x:c r="J163" s="28" t="n">
        <x:v>-31.200000000000045</x:v>
      </x:c>
      <x:c r="K163" s="27"/>
      <x:c r="L163" s="31" t="str">
        <x:v>ADP NOT LOADED</x:v>
      </x:c>
      <x:c r="M163" s="26" t="str">
        <x:v>Projection-only v1.0</x:v>
      </x:c>
    </x:row>
    <x:row r="164">
      <x:c r="A164" s="26" t="n">
        <x:v>160</x:v>
      </x:c>
      <x:c r="B164" s="26" t="n">
        <x:v>7</x:v>
      </x:c>
      <x:c r="C164" s="26" t="n">
        <x:v>19</x:v>
      </x:c>
      <x:c r="D164" s="26" t="str">
        <x:v>AJ Barner</x:v>
      </x:c>
      <x:c r="E164" s="26" t="str">
        <x:v>SEA</x:v>
      </x:c>
      <x:c r="F164" s="26" t="str">
        <x:v>TE</x:v>
      </x:c>
      <x:c r="G164" s="28" t="n">
        <x:v>110.8</x:v>
      </x:c>
      <x:c r="H164" s="28" t="n">
        <x:v>-32.500000000000014</x:v>
      </x:c>
      <x:c r="I164" s="28" t="n">
        <x:v>0</x:v>
      </x:c>
      <x:c r="J164" s="28" t="n">
        <x:v>-32.500000000000014</x:v>
      </x:c>
      <x:c r="K164" s="27"/>
      <x:c r="L164" s="31" t="str">
        <x:v>ADP NOT LOADED</x:v>
      </x:c>
      <x:c r="M164" s="26" t="str">
        <x:v>Projection-only v1.0</x:v>
      </x:c>
    </x:row>
    <x:row r="165">
      <x:c r="A165" s="26" t="n">
        <x:v>161</x:v>
      </x:c>
      <x:c r="B165" s="26" t="n">
        <x:v>7</x:v>
      </x:c>
      <x:c r="C165" s="26" t="n">
        <x:v>17</x:v>
      </x:c>
      <x:c r="D165" s="26" t="str">
        <x:v>Dalton Schultz</x:v>
      </x:c>
      <x:c r="E165" s="26" t="str">
        <x:v>HOU</x:v>
      </x:c>
      <x:c r="F165" s="26" t="str">
        <x:v>TE</x:v>
      </x:c>
      <x:c r="G165" s="28" t="n">
        <x:v>109.8</x:v>
      </x:c>
      <x:c r="H165" s="28" t="n">
        <x:v>-33.500000000000014</x:v>
      </x:c>
      <x:c r="I165" s="28" t="n">
        <x:v>0</x:v>
      </x:c>
      <x:c r="J165" s="28" t="n">
        <x:v>-33.500000000000014</x:v>
      </x:c>
      <x:c r="K165" s="27"/>
      <x:c r="L165" s="31" t="str">
        <x:v>ADP NOT LOADED</x:v>
      </x:c>
      <x:c r="M165" s="26" t="str">
        <x:v>Projection-only v1.0</x:v>
      </x:c>
    </x:row>
    <x:row r="166">
      <x:c r="A166" s="26" t="n">
        <x:v>162</x:v>
      </x:c>
      <x:c r="B166" s="26" t="n">
        <x:v>7</x:v>
      </x:c>
      <x:c r="C166" s="26" t="n">
        <x:v>72</x:v>
      </x:c>
      <x:c r="D166" s="26" t="str">
        <x:v>Rashod Bateman</x:v>
      </x:c>
      <x:c r="E166" s="26" t="str">
        <x:v>BAL</x:v>
      </x:c>
      <x:c r="F166" s="26" t="str">
        <x:v>WR</x:v>
      </x:c>
      <x:c r="G166" s="28" t="n">
        <x:v>76.6</x:v>
      </x:c>
      <x:c r="H166" s="28" t="n">
        <x:v>-34</x:v>
      </x:c>
      <x:c r="I166" s="28" t="n">
        <x:v>0</x:v>
      </x:c>
      <x:c r="J166" s="28" t="n">
        <x:v>-34</x:v>
      </x:c>
      <x:c r="K166" s="27"/>
      <x:c r="L166" s="31" t="str">
        <x:v>ADP NOT LOADED</x:v>
      </x:c>
      <x:c r="M166" s="26" t="str">
        <x:v>Projection-only v1.0</x:v>
      </x:c>
    </x:row>
    <x:row r="167">
      <x:c r="A167" s="26" t="n">
        <x:v>163</x:v>
      </x:c>
      <x:c r="B167" s="26" t="n">
        <x:v>7</x:v>
      </x:c>
      <x:c r="C167" s="26" t="n">
        <x:v>69</x:v>
      </x:c>
      <x:c r="D167" s="26" t="str">
        <x:v>Omar Cooper Jr.</x:v>
      </x:c>
      <x:c r="E167" s="26" t="str">
        <x:v>NYJ</x:v>
      </x:c>
      <x:c r="F167" s="26" t="str">
        <x:v>WR</x:v>
      </x:c>
      <x:c r="G167" s="28" t="n">
        <x:v>75.8</x:v>
      </x:c>
      <x:c r="H167" s="28" t="n">
        <x:v>-34.8</x:v>
      </x:c>
      <x:c r="I167" s="28" t="n">
        <x:v>0</x:v>
      </x:c>
      <x:c r="J167" s="28" t="n">
        <x:v>-34.8</x:v>
      </x:c>
      <x:c r="K167" s="27"/>
      <x:c r="L167" s="31" t="str">
        <x:v>ADP NOT LOADED</x:v>
      </x:c>
      <x:c r="M167" s="26" t="str">
        <x:v>Projection-only v1.0</x:v>
      </x:c>
    </x:row>
    <x:row r="168">
      <x:c r="A168" s="26" t="n">
        <x:v>164</x:v>
      </x:c>
      <x:c r="B168" s="26" t="n">
        <x:v>7</x:v>
      </x:c>
      <x:c r="C168" s="26" t="n">
        <x:v>71</x:v>
      </x:c>
      <x:c r="D168" s="26" t="str">
        <x:v>Andrei Iosivas</x:v>
      </x:c>
      <x:c r="E168" s="26" t="str">
        <x:v>CIN</x:v>
      </x:c>
      <x:c r="F168" s="26" t="str">
        <x:v>WR</x:v>
      </x:c>
      <x:c r="G168" s="28" t="n">
        <x:v>74.9</x:v>
      </x:c>
      <x:c r="H168" s="28" t="n">
        <x:v>-35.69999999999999</x:v>
      </x:c>
      <x:c r="I168" s="28" t="n">
        <x:v>0</x:v>
      </x:c>
      <x:c r="J168" s="28" t="n">
        <x:v>-35.69999999999999</x:v>
      </x:c>
      <x:c r="K168" s="27"/>
      <x:c r="L168" s="31" t="str">
        <x:v>ADP NOT LOADED</x:v>
      </x:c>
      <x:c r="M168" s="26" t="str">
        <x:v>Projection-only v1.0</x:v>
      </x:c>
    </x:row>
    <x:row r="169">
      <x:c r="A169" s="26" t="n">
        <x:v>165</x:v>
      </x:c>
      <x:c r="B169" s="26" t="n">
        <x:v>7</x:v>
      </x:c>
      <x:c r="C169" s="26" t="n">
        <x:v>22</x:v>
      </x:c>
      <x:c r="D169" s="26" t="str">
        <x:v>C.J. Stroud</x:v>
      </x:c>
      <x:c r="E169" s="26" t="str">
        <x:v>HOU</x:v>
      </x:c>
      <x:c r="F169" s="26" t="str">
        <x:v>QB</x:v>
      </x:c>
      <x:c r="G169" s="28" t="n">
        <x:v>253.9</x:v>
      </x:c>
      <x:c r="H169" s="28" t="n">
        <x:v>-36.70000000000002</x:v>
      </x:c>
      <x:c r="I169" s="28" t="n">
        <x:v>0</x:v>
      </x:c>
      <x:c r="J169" s="28" t="n">
        <x:v>-36.70000000000002</x:v>
      </x:c>
      <x:c r="K169" s="27"/>
      <x:c r="L169" s="31" t="str">
        <x:v>ADP NOT LOADED</x:v>
      </x:c>
      <x:c r="M169" s="26" t="str">
        <x:v>Projection-only v1.0</x:v>
      </x:c>
    </x:row>
    <x:row r="170">
      <x:c r="A170" s="26" t="n">
        <x:v>166</x:v>
      </x:c>
      <x:c r="B170" s="26" t="n">
        <x:v>8</x:v>
      </x:c>
      <x:c r="C170" s="26" t="n">
        <x:v>20</x:v>
      </x:c>
      <x:c r="D170" s="26" t="str">
        <x:v>Juwan Johnson</x:v>
      </x:c>
      <x:c r="E170" s="26" t="str">
        <x:v>NO</x:v>
      </x:c>
      <x:c r="F170" s="26" t="str">
        <x:v>TE</x:v>
      </x:c>
      <x:c r="G170" s="28" t="n">
        <x:v>106.3</x:v>
      </x:c>
      <x:c r="H170" s="28" t="n">
        <x:v>-37.000000000000014</x:v>
      </x:c>
      <x:c r="I170" s="28" t="n">
        <x:v>0</x:v>
      </x:c>
      <x:c r="J170" s="28" t="n">
        <x:v>-37.000000000000014</x:v>
      </x:c>
      <x:c r="K170" s="27"/>
      <x:c r="L170" s="31" t="str">
        <x:v>ADP NOT LOADED</x:v>
      </x:c>
      <x:c r="M170" s="26" t="str">
        <x:v>Projection-only v1.0</x:v>
      </x:c>
    </x:row>
    <x:row r="171">
      <x:c r="A171" s="26" t="n">
        <x:v>167</x:v>
      </x:c>
      <x:c r="B171" s="26" t="n">
        <x:v>8</x:v>
      </x:c>
      <x:c r="C171" s="26" t="n">
        <x:v>74</x:v>
      </x:c>
      <x:c r="D171" s="26" t="str">
        <x:v>Ted Hurst</x:v>
      </x:c>
      <x:c r="E171" s="26" t="str">
        <x:v>TB</x:v>
      </x:c>
      <x:c r="F171" s="26" t="str">
        <x:v>WR</x:v>
      </x:c>
      <x:c r="G171" s="28" t="n">
        <x:v>73.2</x:v>
      </x:c>
      <x:c r="H171" s="28" t="n">
        <x:v>-37.39999999999999</x:v>
      </x:c>
      <x:c r="I171" s="28" t="n">
        <x:v>0</x:v>
      </x:c>
      <x:c r="J171" s="28" t="n">
        <x:v>-37.39999999999999</x:v>
      </x:c>
      <x:c r="K171" s="27"/>
      <x:c r="L171" s="31" t="str">
        <x:v>ADP NOT LOADED</x:v>
      </x:c>
      <x:c r="M171" s="26" t="str">
        <x:v>Projection-only v1.0</x:v>
      </x:c>
    </x:row>
    <x:row r="172">
      <x:c r="A172" s="26" t="n">
        <x:v>168</x:v>
      </x:c>
      <x:c r="B172" s="26" t="n">
        <x:v>8</x:v>
      </x:c>
      <x:c r="C172" s="26" t="n">
        <x:v>54</x:v>
      </x:c>
      <x:c r="D172" s="26" t="str">
        <x:v>Brian Robinson Jr.</x:v>
      </x:c>
      <x:c r="E172" s="26" t="str">
        <x:v>ATL</x:v>
      </x:c>
      <x:c r="F172" s="26" t="str">
        <x:v>RB</x:v>
      </x:c>
      <x:c r="G172" s="28" t="n">
        <x:v>86.8</x:v>
      </x:c>
      <x:c r="H172" s="28" t="n">
        <x:v>-37.7</x:v>
      </x:c>
      <x:c r="I172" s="28" t="n">
        <x:v>0</x:v>
      </x:c>
      <x:c r="J172" s="28" t="n">
        <x:v>-37.7</x:v>
      </x:c>
      <x:c r="K172" s="27"/>
      <x:c r="L172" s="31" t="str">
        <x:v>ADP NOT LOADED</x:v>
      </x:c>
      <x:c r="M172" s="26" t="str">
        <x:v>Projection-only v1.0</x:v>
      </x:c>
    </x:row>
    <x:row r="173">
      <x:c r="A173" s="26" t="n">
        <x:v>169</x:v>
      </x:c>
      <x:c r="B173" s="26" t="n">
        <x:v>8</x:v>
      </x:c>
      <x:c r="C173" s="26" t="n">
        <x:v>75</x:v>
      </x:c>
      <x:c r="D173" s="26" t="str">
        <x:v>Theo Wease Jr.</x:v>
      </x:c>
      <x:c r="E173" s="26" t="str">
        <x:v>MIA</x:v>
      </x:c>
      <x:c r="F173" s="26" t="str">
        <x:v>WR</x:v>
      </x:c>
      <x:c r="G173" s="28" t="n">
        <x:v>72.8</x:v>
      </x:c>
      <x:c r="H173" s="28" t="n">
        <x:v>-37.8</x:v>
      </x:c>
      <x:c r="I173" s="28" t="n">
        <x:v>0</x:v>
      </x:c>
      <x:c r="J173" s="28" t="n">
        <x:v>-37.8</x:v>
      </x:c>
      <x:c r="K173" s="27"/>
      <x:c r="L173" s="31" t="str">
        <x:v>ADP NOT LOADED</x:v>
      </x:c>
      <x:c r="M173" s="26" t="str">
        <x:v>Projection-only v1.0</x:v>
      </x:c>
    </x:row>
    <x:row r="174">
      <x:c r="A174" s="26" t="n">
        <x:v>170</x:v>
      </x:c>
      <x:c r="B174" s="26" t="n">
        <x:v>8</x:v>
      </x:c>
      <x:c r="C174" s="26" t="n">
        <x:v>53</x:v>
      </x:c>
      <x:c r="D174" s="26" t="str">
        <x:v>Kaytron Allen</x:v>
      </x:c>
      <x:c r="E174" s="26" t="str">
        <x:v>WAS</x:v>
      </x:c>
      <x:c r="F174" s="26" t="str">
        <x:v>RB</x:v>
      </x:c>
      <x:c r="G174" s="28" t="n">
        <x:v>86.4</x:v>
      </x:c>
      <x:c r="H174" s="28" t="n">
        <x:v>-38.099999999999994</x:v>
      </x:c>
      <x:c r="I174" s="28" t="n">
        <x:v>0</x:v>
      </x:c>
      <x:c r="J174" s="28" t="n">
        <x:v>-38.099999999999994</x:v>
      </x:c>
      <x:c r="K174" s="27"/>
      <x:c r="L174" s="31" t="str">
        <x:v>ADP NOT LOADED</x:v>
      </x:c>
      <x:c r="M174" s="26" t="str">
        <x:v>Projection-only v1.0</x:v>
      </x:c>
    </x:row>
    <x:row r="175">
      <x:c r="A175" s="26" t="n">
        <x:v>171</x:v>
      </x:c>
      <x:c r="B175" s="26" t="n">
        <x:v>8</x:v>
      </x:c>
      <x:c r="C175" s="26" t="n">
        <x:v>73</x:v>
      </x:c>
      <x:c r="D175" s="26" t="str">
        <x:v>Malik Washington</x:v>
      </x:c>
      <x:c r="E175" s="26" t="str">
        <x:v>MIA</x:v>
      </x:c>
      <x:c r="F175" s="26" t="str">
        <x:v>WR</x:v>
      </x:c>
      <x:c r="G175" s="28" t="n">
        <x:v>72</x:v>
      </x:c>
      <x:c r="H175" s="28" t="n">
        <x:v>-38.599999999999994</x:v>
      </x:c>
      <x:c r="I175" s="28" t="n">
        <x:v>0</x:v>
      </x:c>
      <x:c r="J175" s="28" t="n">
        <x:v>-38.599999999999994</x:v>
      </x:c>
      <x:c r="K175" s="27"/>
      <x:c r="L175" s="31" t="str">
        <x:v>ADP NOT LOADED</x:v>
      </x:c>
      <x:c r="M175" s="26" t="str">
        <x:v>Projection-only v1.0</x:v>
      </x:c>
    </x:row>
    <x:row r="176">
      <x:c r="A176" s="26" t="n">
        <x:v>172</x:v>
      </x:c>
      <x:c r="B176" s="26" t="n">
        <x:v>8</x:v>
      </x:c>
      <x:c r="C176" s="26" t="n">
        <x:v>23</x:v>
      </x:c>
      <x:c r="D176" s="26" t="str">
        <x:v>Daniel Jones</x:v>
      </x:c>
      <x:c r="E176" s="26" t="str">
        <x:v>IND</x:v>
      </x:c>
      <x:c r="F176" s="26" t="str">
        <x:v>QB</x:v>
      </x:c>
      <x:c r="G176" s="28" t="n">
        <x:v>250.5</x:v>
      </x:c>
      <x:c r="H176" s="28" t="n">
        <x:v>-40.10000000000002</x:v>
      </x:c>
      <x:c r="I176" s="28" t="n">
        <x:v>0</x:v>
      </x:c>
      <x:c r="J176" s="28" t="n">
        <x:v>-40.10000000000002</x:v>
      </x:c>
      <x:c r="K176" s="27"/>
      <x:c r="L176" s="31" t="str">
        <x:v>ADP NOT LOADED</x:v>
      </x:c>
      <x:c r="M176" s="26" t="str">
        <x:v>Projection-only v1.0</x:v>
      </x:c>
    </x:row>
    <x:row r="177">
      <x:c r="A177" s="26" t="n">
        <x:v>173</x:v>
      </x:c>
      <x:c r="B177" s="26" t="n">
        <x:v>8</x:v>
      </x:c>
      <x:c r="C177" s="26" t="n">
        <x:v>21</x:v>
      </x:c>
      <x:c r="D177" s="26" t="str">
        <x:v>Cade Otton</x:v>
      </x:c>
      <x:c r="E177" s="26" t="str">
        <x:v>TB</x:v>
      </x:c>
      <x:c r="F177" s="26" t="str">
        <x:v>TE</x:v>
      </x:c>
      <x:c r="G177" s="28" t="n">
        <x:v>102.9</x:v>
      </x:c>
      <x:c r="H177" s="28" t="n">
        <x:v>-40.400000000000006</x:v>
      </x:c>
      <x:c r="I177" s="28" t="n">
        <x:v>0</x:v>
      </x:c>
      <x:c r="J177" s="28" t="n">
        <x:v>-40.400000000000006</x:v>
      </x:c>
      <x:c r="K177" s="27"/>
      <x:c r="L177" s="31" t="str">
        <x:v>ADP NOT LOADED</x:v>
      </x:c>
      <x:c r="M177" s="26" t="str">
        <x:v>Projection-only v1.0</x:v>
      </x:c>
    </x:row>
    <x:row r="178">
      <x:c r="A178" s="26" t="n">
        <x:v>174</x:v>
      </x:c>
      <x:c r="B178" s="26" t="n">
        <x:v>8</x:v>
      </x:c>
      <x:c r="C178" s="26" t="n">
        <x:v>77</x:v>
      </x:c>
      <x:c r="D178" s="26" t="str">
        <x:v>Christian Kirk</x:v>
      </x:c>
      <x:c r="E178" s="26" t="str">
        <x:v>SF</x:v>
      </x:c>
      <x:c r="F178" s="26" t="str">
        <x:v>WR</x:v>
      </x:c>
      <x:c r="G178" s="28" t="n">
        <x:v>68.2</x:v>
      </x:c>
      <x:c r="H178" s="28" t="n">
        <x:v>-42.39999999999999</x:v>
      </x:c>
      <x:c r="I178" s="28" t="n">
        <x:v>0</x:v>
      </x:c>
      <x:c r="J178" s="28" t="n">
        <x:v>-42.39999999999999</x:v>
      </x:c>
      <x:c r="K178" s="27"/>
      <x:c r="L178" s="31" t="str">
        <x:v>ADP NOT LOADED</x:v>
      </x:c>
      <x:c r="M178" s="26" t="str">
        <x:v>Projection-only v1.0</x:v>
      </x:c>
    </x:row>
    <x:row r="179">
      <x:c r="A179" s="26" t="n">
        <x:v>175</x:v>
      </x:c>
      <x:c r="B179" s="26" t="n">
        <x:v>8</x:v>
      </x:c>
      <x:c r="C179" s="26" t="n">
        <x:v>76</x:v>
      </x:c>
      <x:c r="D179" s="26" t="str">
        <x:v>Germie Bernard</x:v>
      </x:c>
      <x:c r="E179" s="26" t="str">
        <x:v>PIT</x:v>
      </x:c>
      <x:c r="F179" s="26" t="str">
        <x:v>WR</x:v>
      </x:c>
      <x:c r="G179" s="28" t="n">
        <x:v>68</x:v>
      </x:c>
      <x:c r="H179" s="28" t="n">
        <x:v>-42.599999999999994</x:v>
      </x:c>
      <x:c r="I179" s="28" t="n">
        <x:v>0</x:v>
      </x:c>
      <x:c r="J179" s="28" t="n">
        <x:v>-42.599999999999994</x:v>
      </x:c>
      <x:c r="K179" s="27"/>
      <x:c r="L179" s="31" t="str">
        <x:v>ADP NOT LOADED</x:v>
      </x:c>
      <x:c r="M179" s="26" t="str">
        <x:v>Projection-only v1.0</x:v>
      </x:c>
    </x:row>
    <x:row r="180">
      <x:c r="A180" s="26" t="n">
        <x:v>176</x:v>
      </x:c>
      <x:c r="B180" s="26" t="n">
        <x:v>8</x:v>
      </x:c>
      <x:c r="C180" s="26" t="n">
        <x:v>56</x:v>
      </x:c>
      <x:c r="D180" s="26" t="str">
        <x:v>Jaylen Wright</x:v>
      </x:c>
      <x:c r="E180" s="26" t="str">
        <x:v>MIA</x:v>
      </x:c>
      <x:c r="F180" s="26" t="str">
        <x:v>RB</x:v>
      </x:c>
      <x:c r="G180" s="28" t="n">
        <x:v>81.8</x:v>
      </x:c>
      <x:c r="H180" s="28" t="n">
        <x:v>-42.7</x:v>
      </x:c>
      <x:c r="I180" s="28" t="n">
        <x:v>0</x:v>
      </x:c>
      <x:c r="J180" s="28" t="n">
        <x:v>-42.7</x:v>
      </x:c>
      <x:c r="K180" s="27"/>
      <x:c r="L180" s="31" t="str">
        <x:v>ADP NOT LOADED</x:v>
      </x:c>
      <x:c r="M180" s="26" t="str">
        <x:v>Projection-only v1.0</x:v>
      </x:c>
    </x:row>
    <x:row r="181">
      <x:c r="A181" s="26" t="n">
        <x:v>177</x:v>
      </x:c>
      <x:c r="B181" s="26" t="n">
        <x:v>8</x:v>
      </x:c>
      <x:c r="C181" s="26" t="n">
        <x:v>22</x:v>
      </x:c>
      <x:c r="D181" s="26" t="str">
        <x:v>T.J. Hockenson</x:v>
      </x:c>
      <x:c r="E181" s="26" t="str">
        <x:v>MIN</x:v>
      </x:c>
      <x:c r="F181" s="26" t="str">
        <x:v>TE</x:v>
      </x:c>
      <x:c r="G181" s="28" t="n">
        <x:v>99.9</x:v>
      </x:c>
      <x:c r="H181" s="28" t="n">
        <x:v>-43.400000000000006</x:v>
      </x:c>
      <x:c r="I181" s="28" t="n">
        <x:v>0</x:v>
      </x:c>
      <x:c r="J181" s="28" t="n">
        <x:v>-43.400000000000006</x:v>
      </x:c>
      <x:c r="K181" s="27"/>
      <x:c r="L181" s="31" t="str">
        <x:v>ADP NOT LOADED</x:v>
      </x:c>
      <x:c r="M181" s="26" t="str">
        <x:v>Projection-only v1.0</x:v>
      </x:c>
    </x:row>
    <x:row r="182">
      <x:c r="A182" s="26" t="n">
        <x:v>178</x:v>
      </x:c>
      <x:c r="B182" s="26" t="n">
        <x:v>8</x:v>
      </x:c>
      <x:c r="C182" s="26" t="n">
        <x:v>23</x:v>
      </x:c>
      <x:c r="D182" s="26" t="str">
        <x:v>Pat Freiermuth</x:v>
      </x:c>
      <x:c r="E182" s="26" t="str">
        <x:v>PIT</x:v>
      </x:c>
      <x:c r="F182" s="26" t="str">
        <x:v>TE</x:v>
      </x:c>
      <x:c r="G182" s="28" t="n">
        <x:v>99.5</x:v>
      </x:c>
      <x:c r="H182" s="28" t="n">
        <x:v>-43.80000000000001</x:v>
      </x:c>
      <x:c r="I182" s="28" t="n">
        <x:v>0</x:v>
      </x:c>
      <x:c r="J182" s="28" t="n">
        <x:v>-43.80000000000001</x:v>
      </x:c>
      <x:c r="K182" s="27"/>
      <x:c r="L182" s="31" t="str">
        <x:v>ADP NOT LOADED</x:v>
      </x:c>
      <x:c r="M182" s="26" t="str">
        <x:v>Projection-only v1.0</x:v>
      </x:c>
    </x:row>
    <x:row r="183">
      <x:c r="A183" s="26" t="n">
        <x:v>179</x:v>
      </x:c>
      <x:c r="B183" s="26" t="n">
        <x:v>8</x:v>
      </x:c>
      <x:c r="C183" s="26" t="n">
        <x:v>55</x:v>
      </x:c>
      <x:c r="D183" s="26" t="str">
        <x:v>MarShawn Lloyd</x:v>
      </x:c>
      <x:c r="E183" s="26" t="str">
        <x:v>GB</x:v>
      </x:c>
      <x:c r="F183" s="26" t="str">
        <x:v>RB</x:v>
      </x:c>
      <x:c r="G183" s="28" t="n">
        <x:v>80.5</x:v>
      </x:c>
      <x:c r="H183" s="28" t="n">
        <x:v>-44</x:v>
      </x:c>
      <x:c r="I183" s="28" t="n">
        <x:v>0</x:v>
      </x:c>
      <x:c r="J183" s="28" t="n">
        <x:v>-44</x:v>
      </x:c>
      <x:c r="K183" s="27"/>
      <x:c r="L183" s="31" t="str">
        <x:v>ADP NOT LOADED</x:v>
      </x:c>
      <x:c r="M183" s="26" t="str">
        <x:v>Projection-only v1.0</x:v>
      </x:c>
    </x:row>
    <x:row r="184">
      <x:c r="A184" s="26" t="n">
        <x:v>180</x:v>
      </x:c>
      <x:c r="B184" s="26" t="n">
        <x:v>8</x:v>
      </x:c>
      <x:c r="C184" s="26" t="n">
        <x:v>24</x:v>
      </x:c>
      <x:c r="D184" s="26" t="str">
        <x:v>Oronde Gadsden</x:v>
      </x:c>
      <x:c r="E184" s="26" t="str">
        <x:v>LAC</x:v>
      </x:c>
      <x:c r="F184" s="26" t="str">
        <x:v>TE</x:v>
      </x:c>
      <x:c r="G184" s="28" t="n">
        <x:v>99.3</x:v>
      </x:c>
      <x:c r="H184" s="28" t="n">
        <x:v>-44.000000000000014</x:v>
      </x:c>
      <x:c r="I184" s="28" t="n">
        <x:v>0</x:v>
      </x:c>
      <x:c r="J184" s="28" t="n">
        <x:v>-44.000000000000014</x:v>
      </x:c>
      <x:c r="K184" s="27"/>
      <x:c r="L184" s="31" t="str">
        <x:v>ADP NOT LOADED</x:v>
      </x:c>
      <x:c r="M184" s="26" t="str">
        <x:v>Projection-only v1.0</x:v>
      </x:c>
    </x:row>
    <x:row r="185">
      <x:c r="A185" s="26" t="n">
        <x:v>181</x:v>
      </x:c>
      <x:c r="B185" s="26" t="n">
        <x:v>8</x:v>
      </x:c>
      <x:c r="C185" s="26" t="n">
        <x:v>78</x:v>
      </x:c>
      <x:c r="D185" s="26" t="str">
        <x:v>De'Zhaun Stribling</x:v>
      </x:c>
      <x:c r="E185" s="26" t="str">
        <x:v>SF</x:v>
      </x:c>
      <x:c r="F185" s="26" t="str">
        <x:v>WR</x:v>
      </x:c>
      <x:c r="G185" s="28" t="n">
        <x:v>66.2</x:v>
      </x:c>
      <x:c r="H185" s="28" t="n">
        <x:v>-44.39999999999999</x:v>
      </x:c>
      <x:c r="I185" s="28" t="n">
        <x:v>0</x:v>
      </x:c>
      <x:c r="J185" s="28" t="n">
        <x:v>-44.39999999999999</x:v>
      </x:c>
      <x:c r="K185" s="27"/>
      <x:c r="L185" s="31" t="str">
        <x:v>ADP NOT LOADED</x:v>
      </x:c>
      <x:c r="M185" s="26" t="str">
        <x:v>Projection-only v1.0</x:v>
      </x:c>
    </x:row>
    <x:row r="186">
      <x:c r="A186" s="26" t="n">
        <x:v>182</x:v>
      </x:c>
      <x:c r="B186" s="26" t="n">
        <x:v>8</x:v>
      </x:c>
      <x:c r="C186" s="26" t="n">
        <x:v>81</x:v>
      </x:c>
      <x:c r="D186" s="26" t="str">
        <x:v>Isaac TeSlaa</x:v>
      </x:c>
      <x:c r="E186" s="26" t="str">
        <x:v>DET</x:v>
      </x:c>
      <x:c r="F186" s="26" t="str">
        <x:v>WR</x:v>
      </x:c>
      <x:c r="G186" s="28" t="n">
        <x:v>66.1</x:v>
      </x:c>
      <x:c r="H186" s="28" t="n">
        <x:v>-44.5</x:v>
      </x:c>
      <x:c r="I186" s="28" t="n">
        <x:v>0</x:v>
      </x:c>
      <x:c r="J186" s="28" t="n">
        <x:v>-44.5</x:v>
      </x:c>
      <x:c r="K186" s="27"/>
      <x:c r="L186" s="31" t="str">
        <x:v>ADP NOT LOADED</x:v>
      </x:c>
      <x:c r="M186" s="26" t="str">
        <x:v>Projection-only v1.0</x:v>
      </x:c>
    </x:row>
    <x:row r="187">
      <x:c r="A187" s="26" t="n">
        <x:v>183</x:v>
      </x:c>
      <x:c r="B187" s="26" t="n">
        <x:v>8</x:v>
      </x:c>
      <x:c r="C187" s="26" t="n">
        <x:v>82</x:v>
      </x:c>
      <x:c r="D187" s="26" t="str">
        <x:v>Ja'Kobi Lane</x:v>
      </x:c>
      <x:c r="E187" s="26" t="str">
        <x:v>BAL</x:v>
      </x:c>
      <x:c r="F187" s="26" t="str">
        <x:v>WR</x:v>
      </x:c>
      <x:c r="G187" s="28" t="n">
        <x:v>66.1</x:v>
      </x:c>
      <x:c r="H187" s="28" t="n">
        <x:v>-44.5</x:v>
      </x:c>
      <x:c r="I187" s="28" t="n">
        <x:v>0</x:v>
      </x:c>
      <x:c r="J187" s="28" t="n">
        <x:v>-44.5</x:v>
      </x:c>
      <x:c r="K187" s="27"/>
      <x:c r="L187" s="31" t="str">
        <x:v>ADP NOT LOADED</x:v>
      </x:c>
      <x:c r="M187" s="26" t="str">
        <x:v>Projection-only v1.0</x:v>
      </x:c>
    </x:row>
    <x:row r="188">
      <x:c r="A188" s="26" t="n">
        <x:v>184</x:v>
      </x:c>
      <x:c r="B188" s="26" t="n">
        <x:v>8</x:v>
      </x:c>
      <x:c r="C188" s="26" t="n">
        <x:v>24</x:v>
      </x:c>
      <x:c r="D188" s="26" t="str">
        <x:v>Cam Ward</x:v>
      </x:c>
      <x:c r="E188" s="26" t="str">
        <x:v>TEN</x:v>
      </x:c>
      <x:c r="F188" s="26" t="str">
        <x:v>QB</x:v>
      </x:c>
      <x:c r="G188" s="28" t="n">
        <x:v>246.1</x:v>
      </x:c>
      <x:c r="H188" s="28" t="n">
        <x:v>-44.50000000000003</x:v>
      </x:c>
      <x:c r="I188" s="28" t="n">
        <x:v>0</x:v>
      </x:c>
      <x:c r="J188" s="28" t="n">
        <x:v>-44.50000000000003</x:v>
      </x:c>
      <x:c r="K188" s="27"/>
      <x:c r="L188" s="31" t="str">
        <x:v>ADP NOT LOADED</x:v>
      </x:c>
      <x:c r="M188" s="26" t="str">
        <x:v>Projection-only v1.0</x:v>
      </x:c>
    </x:row>
    <x:row r="189">
      <x:c r="A189" s="26" t="n">
        <x:v>185</x:v>
      </x:c>
      <x:c r="B189" s="26" t="n">
        <x:v>8</x:v>
      </x:c>
      <x:c r="C189" s="26" t="n">
        <x:v>25</x:v>
      </x:c>
      <x:c r="D189" s="26" t="str">
        <x:v>Sam Darnold</x:v>
      </x:c>
      <x:c r="E189" s="26" t="str">
        <x:v>SEA</x:v>
      </x:c>
      <x:c r="F189" s="26" t="str">
        <x:v>QB</x:v>
      </x:c>
      <x:c r="G189" s="28" t="n">
        <x:v>245.1</x:v>
      </x:c>
      <x:c r="H189" s="28" t="n">
        <x:v>-45.50000000000003</x:v>
      </x:c>
      <x:c r="I189" s="28" t="n">
        <x:v>0</x:v>
      </x:c>
      <x:c r="J189" s="28" t="n">
        <x:v>-45.50000000000003</x:v>
      </x:c>
      <x:c r="K189" s="27"/>
      <x:c r="L189" s="31" t="str">
        <x:v>ADP NOT LOADED</x:v>
      </x:c>
      <x:c r="M189" s="26" t="str">
        <x:v>Projection-only v1.0</x:v>
      </x:c>
    </x:row>
    <x:row r="190">
      <x:c r="A190" s="26" t="n">
        <x:v>186</x:v>
      </x:c>
      <x:c r="B190" s="26" t="n">
        <x:v>8</x:v>
      </x:c>
      <x:c r="C190" s="26" t="n">
        <x:v>79</x:v>
      </x:c>
      <x:c r="D190" s="26" t="str">
        <x:v>Troy Franklin</x:v>
      </x:c>
      <x:c r="E190" s="26" t="str">
        <x:v>DEN</x:v>
      </x:c>
      <x:c r="F190" s="26" t="str">
        <x:v>WR</x:v>
      </x:c>
      <x:c r="G190" s="28" t="n">
        <x:v>64.9</x:v>
      </x:c>
      <x:c r="H190" s="28" t="n">
        <x:v>-45.69999999999999</x:v>
      </x:c>
      <x:c r="I190" s="28" t="n">
        <x:v>0</x:v>
      </x:c>
      <x:c r="J190" s="28" t="n">
        <x:v>-45.69999999999999</x:v>
      </x:c>
      <x:c r="K190" s="27"/>
      <x:c r="L190" s="31" t="str">
        <x:v>ADP NOT LOADED</x:v>
      </x:c>
      <x:c r="M190" s="26" t="str">
        <x:v>Projection-only v1.0</x:v>
      </x:c>
    </x:row>
    <x:row r="191">
      <x:c r="A191" s="26" t="n">
        <x:v>187</x:v>
      </x:c>
      <x:c r="B191" s="26" t="n">
        <x:v>8</x:v>
      </x:c>
      <x:c r="C191" s="26" t="n">
        <x:v>57</x:v>
      </x:c>
      <x:c r="D191" s="26" t="str">
        <x:v>Keaton Mitchell</x:v>
      </x:c>
      <x:c r="E191" s="26" t="str">
        <x:v>LAC</x:v>
      </x:c>
      <x:c r="F191" s="26" t="str">
        <x:v>RB</x:v>
      </x:c>
      <x:c r="G191" s="28" t="n">
        <x:v>78.8</x:v>
      </x:c>
      <x:c r="H191" s="28" t="n">
        <x:v>-45.7</x:v>
      </x:c>
      <x:c r="I191" s="28" t="n">
        <x:v>0</x:v>
      </x:c>
      <x:c r="J191" s="28" t="n">
        <x:v>-45.7</x:v>
      </x:c>
      <x:c r="K191" s="27"/>
      <x:c r="L191" s="31" t="str">
        <x:v>ADP NOT LOADED</x:v>
      </x:c>
      <x:c r="M191" s="26" t="str">
        <x:v>Projection-only v1.0</x:v>
      </x:c>
    </x:row>
    <x:row r="192">
      <x:c r="A192" s="26" t="n">
        <x:v>188</x:v>
      </x:c>
      <x:c r="B192" s="26" t="n">
        <x:v>8</x:v>
      </x:c>
      <x:c r="C192" s="26" t="n">
        <x:v>25</x:v>
      </x:c>
      <x:c r="D192" s="26" t="str">
        <x:v>Chig Okonkwo</x:v>
      </x:c>
      <x:c r="E192" s="26" t="str">
        <x:v>WAS</x:v>
      </x:c>
      <x:c r="F192" s="26" t="str">
        <x:v>TE</x:v>
      </x:c>
      <x:c r="G192" s="28" t="n">
        <x:v>97.2</x:v>
      </x:c>
      <x:c r="H192" s="28" t="n">
        <x:v>-46.10000000000001</x:v>
      </x:c>
      <x:c r="I192" s="28" t="n">
        <x:v>0</x:v>
      </x:c>
      <x:c r="J192" s="28" t="n">
        <x:v>-46.10000000000001</x:v>
      </x:c>
      <x:c r="K192" s="27"/>
      <x:c r="L192" s="31" t="str">
        <x:v>ADP NOT LOADED</x:v>
      </x:c>
      <x:c r="M192" s="26" t="str">
        <x:v>Projection-only v1.0</x:v>
      </x:c>
    </x:row>
    <x:row r="193">
      <x:c r="A193" s="26" t="n">
        <x:v>189</x:v>
      </x:c>
      <x:c r="B193" s="26" t="n">
        <x:v>8</x:v>
      </x:c>
      <x:c r="C193" s="26" t="n">
        <x:v>80</x:v>
      </x:c>
      <x:c r="D193" s="26" t="str">
        <x:v>Malik Benson</x:v>
      </x:c>
      <x:c r="E193" s="26" t="str">
        <x:v>LV</x:v>
      </x:c>
      <x:c r="F193" s="26" t="str">
        <x:v>WR</x:v>
      </x:c>
      <x:c r="G193" s="28" t="n">
        <x:v>64.1</x:v>
      </x:c>
      <x:c r="H193" s="28" t="n">
        <x:v>-46.5</x:v>
      </x:c>
      <x:c r="I193" s="28" t="n">
        <x:v>0</x:v>
      </x:c>
      <x:c r="J193" s="28" t="n">
        <x:v>-46.5</x:v>
      </x:c>
      <x:c r="K193" s="27"/>
      <x:c r="L193" s="31" t="str">
        <x:v>ADP NOT LOADED</x:v>
      </x:c>
      <x:c r="M193" s="26" t="str">
        <x:v>Projection-only v1.0</x:v>
      </x:c>
    </x:row>
    <x:row r="194">
      <x:c r="A194" s="26" t="n">
        <x:v>190</x:v>
      </x:c>
      <x:c r="B194" s="26" t="n">
        <x:v>8</x:v>
      </x:c>
      <x:c r="C194" s="26" t="n">
        <x:v>88</x:v>
      </x:c>
      <x:c r="D194" s="26" t="str">
        <x:v>Tyquan Thornton</x:v>
      </x:c>
      <x:c r="E194" s="26" t="str">
        <x:v>KC</x:v>
      </x:c>
      <x:c r="F194" s="26" t="str">
        <x:v>WR</x:v>
      </x:c>
      <x:c r="G194" s="28" t="n">
        <x:v>63.5</x:v>
      </x:c>
      <x:c r="H194" s="28" t="n">
        <x:v>-47.099999999999994</x:v>
      </x:c>
      <x:c r="I194" s="28" t="n">
        <x:v>0</x:v>
      </x:c>
      <x:c r="J194" s="28" t="n">
        <x:v>-47.099999999999994</x:v>
      </x:c>
      <x:c r="K194" s="27"/>
      <x:c r="L194" s="31" t="str">
        <x:v>ADP NOT LOADED</x:v>
      </x:c>
      <x:c r="M194" s="26" t="str">
        <x:v>Projection-only v1.0</x:v>
      </x:c>
    </x:row>
    <x:row r="195">
      <x:c r="A195" s="26" t="n">
        <x:v>191</x:v>
      </x:c>
      <x:c r="B195" s="26" t="n">
        <x:v>8</x:v>
      </x:c>
      <x:c r="C195" s="26" t="n">
        <x:v>87</x:v>
      </x:c>
      <x:c r="D195" s="26" t="str">
        <x:v>Kayshon Boutte</x:v>
      </x:c>
      <x:c r="E195" s="26" t="str">
        <x:v>NE</x:v>
      </x:c>
      <x:c r="F195" s="26" t="str">
        <x:v>WR</x:v>
      </x:c>
      <x:c r="G195" s="28" t="n">
        <x:v>62.8</x:v>
      </x:c>
      <x:c r="H195" s="28" t="n">
        <x:v>-47.8</x:v>
      </x:c>
      <x:c r="I195" s="28" t="n">
        <x:v>0</x:v>
      </x:c>
      <x:c r="J195" s="28" t="n">
        <x:v>-47.8</x:v>
      </x:c>
      <x:c r="K195" s="27"/>
      <x:c r="L195" s="31" t="str">
        <x:v>ADP NOT LOADED</x:v>
      </x:c>
      <x:c r="M195" s="26" t="str">
        <x:v>Projection-only v1.0</x:v>
      </x:c>
    </x:row>
    <x:row r="196">
      <x:c r="A196" s="26" t="n">
        <x:v>192</x:v>
      </x:c>
      <x:c r="B196" s="26" t="n">
        <x:v>8</x:v>
      </x:c>
      <x:c r="C196" s="26" t="n">
        <x:v>85</x:v>
      </x:c>
      <x:c r="D196" s="26" t="str">
        <x:v>Cooper Kupp</x:v>
      </x:c>
      <x:c r="E196" s="26" t="str">
        <x:v>SEA</x:v>
      </x:c>
      <x:c r="F196" s="26" t="str">
        <x:v>WR</x:v>
      </x:c>
      <x:c r="G196" s="28" t="n">
        <x:v>61.9</x:v>
      </x:c>
      <x:c r="H196" s="28" t="n">
        <x:v>-48.699999999999996</x:v>
      </x:c>
      <x:c r="I196" s="28" t="n">
        <x:v>0</x:v>
      </x:c>
      <x:c r="J196" s="28" t="n">
        <x:v>-48.699999999999996</x:v>
      </x:c>
      <x:c r="K196" s="27"/>
      <x:c r="L196" s="31" t="str">
        <x:v>ADP NOT LOADED</x:v>
      </x:c>
      <x:c r="M196" s="26" t="str">
        <x:v>Projection-only v1.0</x:v>
      </x:c>
    </x:row>
    <x:row r="197">
      <x:c r="A197" s="26" t="n">
        <x:v>193</x:v>
      </x:c>
      <x:c r="B197" s="26" t="n">
        <x:v>8</x:v>
      </x:c>
      <x:c r="C197" s="26" t="n">
        <x:v>83</x:v>
      </x:c>
      <x:c r="D197" s="26" t="str">
        <x:v>Dontayvion Wicks</x:v>
      </x:c>
      <x:c r="E197" s="26" t="str">
        <x:v>PHI</x:v>
      </x:c>
      <x:c r="F197" s="26" t="str">
        <x:v>WR</x:v>
      </x:c>
      <x:c r="G197" s="28" t="n">
        <x:v>61.8</x:v>
      </x:c>
      <x:c r="H197" s="28" t="n">
        <x:v>-48.8</x:v>
      </x:c>
      <x:c r="I197" s="28" t="n">
        <x:v>0</x:v>
      </x:c>
      <x:c r="J197" s="28" t="n">
        <x:v>-48.8</x:v>
      </x:c>
      <x:c r="K197" s="27"/>
      <x:c r="L197" s="31" t="str">
        <x:v>ADP NOT LOADED</x:v>
      </x:c>
      <x:c r="M197" s="26" t="str">
        <x:v>Projection-only v1.0</x:v>
      </x:c>
    </x:row>
    <x:row r="198">
      <x:c r="A198" s="26" t="n">
        <x:v>194</x:v>
      </x:c>
      <x:c r="B198" s="26" t="n">
        <x:v>8</x:v>
      </x:c>
      <x:c r="C198" s="26" t="n">
        <x:v>86</x:v>
      </x:c>
      <x:c r="D198" s="26" t="str">
        <x:v>Jordyn Tyson</x:v>
      </x:c>
      <x:c r="E198" s="26" t="str">
        <x:v>NO</x:v>
      </x:c>
      <x:c r="F198" s="26" t="str">
        <x:v>WR</x:v>
      </x:c>
      <x:c r="G198" s="28" t="n">
        <x:v>61.3</x:v>
      </x:c>
      <x:c r="H198" s="28" t="n">
        <x:v>-49.3</x:v>
      </x:c>
      <x:c r="I198" s="28" t="n">
        <x:v>0</x:v>
      </x:c>
      <x:c r="J198" s="28" t="n">
        <x:v>-49.3</x:v>
      </x:c>
      <x:c r="K198" s="27"/>
      <x:c r="L198" s="31" t="str">
        <x:v>ADP NOT LOADED</x:v>
      </x:c>
      <x:c r="M198" s="26" t="str">
        <x:v>Projection-only v1.0</x:v>
      </x:c>
    </x:row>
    <x:row r="199">
      <x:c r="A199" s="26" t="n">
        <x:v>195</x:v>
      </x:c>
      <x:c r="B199" s="26" t="n">
        <x:v>8</x:v>
      </x:c>
      <x:c r="C199" s="26" t="n">
        <x:v>84</x:v>
      </x:c>
      <x:c r="D199" s="26" t="str">
        <x:v>Jack Bech</x:v>
      </x:c>
      <x:c r="E199" s="26" t="str">
        <x:v>LV</x:v>
      </x:c>
      <x:c r="F199" s="26" t="str">
        <x:v>WR</x:v>
      </x:c>
      <x:c r="G199" s="28" t="n">
        <x:v>61</x:v>
      </x:c>
      <x:c r="H199" s="28" t="n">
        <x:v>-49.599999999999994</x:v>
      </x:c>
      <x:c r="I199" s="28" t="n">
        <x:v>0</x:v>
      </x:c>
      <x:c r="J199" s="28" t="n">
        <x:v>-49.599999999999994</x:v>
      </x:c>
      <x:c r="K199" s="27"/>
      <x:c r="L199" s="31" t="str">
        <x:v>ADP NOT LOADED</x:v>
      </x:c>
      <x:c r="M199" s="26" t="str">
        <x:v>Projection-only v1.0</x:v>
      </x:c>
    </x:row>
    <x:row r="200">
      <x:c r="A200" s="26" t="n">
        <x:v>196</x:v>
      </x:c>
      <x:c r="B200" s="26" t="n">
        <x:v>8</x:v>
      </x:c>
      <x:c r="C200" s="26" t="n">
        <x:v>26</x:v>
      </x:c>
      <x:c r="D200" s="26" t="str">
        <x:v>Greg Dulcich</x:v>
      </x:c>
      <x:c r="E200" s="26" t="str">
        <x:v>MIA</x:v>
      </x:c>
      <x:c r="F200" s="26" t="str">
        <x:v>TE</x:v>
      </x:c>
      <x:c r="G200" s="28" t="n">
        <x:v>93.6</x:v>
      </x:c>
      <x:c r="H200" s="28" t="n">
        <x:v>-49.70000000000002</x:v>
      </x:c>
      <x:c r="I200" s="28" t="n">
        <x:v>0</x:v>
      </x:c>
      <x:c r="J200" s="28" t="n">
        <x:v>-49.70000000000002</x:v>
      </x:c>
      <x:c r="K200" s="27"/>
      <x:c r="L200" s="31" t="str">
        <x:v>ADP NOT LOADED</x:v>
      </x:c>
      <x:c r="M200" s="26" t="str">
        <x:v>Projection-only v1.0</x:v>
      </x:c>
    </x:row>
    <x:row r="201">
      <x:c r="A201" s="26" t="n">
        <x:v>197</x:v>
      </x:c>
      <x:c r="B201" s="26" t="n">
        <x:v>8</x:v>
      </x:c>
      <x:c r="C201" s="26" t="n">
        <x:v>89</x:v>
      </x:c>
      <x:c r="D201" s="26" t="str">
        <x:v>Devontez Walker</x:v>
      </x:c>
      <x:c r="E201" s="26" t="str">
        <x:v>BAL</x:v>
      </x:c>
      <x:c r="F201" s="26" t="str">
        <x:v>WR</x:v>
      </x:c>
      <x:c r="G201" s="28" t="n">
        <x:v>58.9</x:v>
      </x:c>
      <x:c r="H201" s="28" t="n">
        <x:v>-51.699999999999996</x:v>
      </x:c>
      <x:c r="I201" s="28" t="n">
        <x:v>0</x:v>
      </x:c>
      <x:c r="J201" s="28" t="n">
        <x:v>-51.699999999999996</x:v>
      </x:c>
      <x:c r="K201" s="27"/>
      <x:c r="L201" s="31" t="str">
        <x:v>ADP NOT LOADED</x:v>
      </x:c>
      <x:c r="M201" s="26" t="str">
        <x:v>Projection-only v1.0</x:v>
      </x:c>
    </x:row>
    <x:row r="202">
      <x:c r="A202" s="26" t="n">
        <x:v>198</x:v>
      </x:c>
      <x:c r="B202" s="26" t="n">
        <x:v>8</x:v>
      </x:c>
      <x:c r="C202" s="26" t="n">
        <x:v>60</x:v>
      </x:c>
      <x:c r="D202" s="26" t="str">
        <x:v>Jordan James</x:v>
      </x:c>
      <x:c r="E202" s="26" t="str">
        <x:v>SF</x:v>
      </x:c>
      <x:c r="F202" s="26" t="str">
        <x:v>RB</x:v>
      </x:c>
      <x:c r="G202" s="28" t="n">
        <x:v>72.7</x:v>
      </x:c>
      <x:c r="H202" s="28" t="n">
        <x:v>-51.8</x:v>
      </x:c>
      <x:c r="I202" s="28" t="n">
        <x:v>0</x:v>
      </x:c>
      <x:c r="J202" s="28" t="n">
        <x:v>-51.8</x:v>
      </x:c>
      <x:c r="K202" s="27"/>
      <x:c r="L202" s="31" t="str">
        <x:v>ADP NOT LOADED</x:v>
      </x:c>
      <x:c r="M202" s="26" t="str">
        <x:v>Projection-only v1.0</x:v>
      </x:c>
    </x:row>
    <x:row r="203">
      <x:c r="A203" s="26" t="n">
        <x:v>199</x:v>
      </x:c>
      <x:c r="B203" s="26" t="n">
        <x:v>8</x:v>
      </x:c>
      <x:c r="C203" s="26" t="n">
        <x:v>92</x:v>
      </x:c>
      <x:c r="D203" s="26" t="str">
        <x:v>Elic Ayomanor</x:v>
      </x:c>
      <x:c r="E203" s="26" t="str">
        <x:v>TEN</x:v>
      </x:c>
      <x:c r="F203" s="26" t="str">
        <x:v>WR</x:v>
      </x:c>
      <x:c r="G203" s="28" t="n">
        <x:v>58.8</x:v>
      </x:c>
      <x:c r="H203" s="28" t="n">
        <x:v>-51.8</x:v>
      </x:c>
      <x:c r="I203" s="28" t="n">
        <x:v>0</x:v>
      </x:c>
      <x:c r="J203" s="28" t="n">
        <x:v>-51.8</x:v>
      </x:c>
      <x:c r="K203" s="27"/>
      <x:c r="L203" s="31" t="str">
        <x:v>ADP NOT LOADED</x:v>
      </x:c>
      <x:c r="M203" s="26" t="str">
        <x:v>Projection-only v1.0</x:v>
      </x:c>
    </x:row>
    <x:row r="204">
      <x:c r="A204" s="26" t="n">
        <x:v>200</x:v>
      </x:c>
      <x:c r="B204" s="26" t="n">
        <x:v>8</x:v>
      </x:c>
      <x:c r="C204" s="26" t="n">
        <x:v>91</x:v>
      </x:c>
      <x:c r="D204" s="26" t="str">
        <x:v>Ryan Flournoy</x:v>
      </x:c>
      <x:c r="E204" s="26" t="str">
        <x:v>DAL</x:v>
      </x:c>
      <x:c r="F204" s="26" t="str">
        <x:v>WR</x:v>
      </x:c>
      <x:c r="G204" s="28" t="n">
        <x:v>58.1</x:v>
      </x:c>
      <x:c r="H204" s="28" t="n">
        <x:v>-52.49999999999999</x:v>
      </x:c>
      <x:c r="I204" s="28" t="n">
        <x:v>0</x:v>
      </x:c>
      <x:c r="J204" s="28" t="n">
        <x:v>-52.49999999999999</x:v>
      </x:c>
      <x:c r="K204" s="27"/>
      <x:c r="L204" s="31" t="str">
        <x:v>ADP NOT LOADED</x:v>
      </x:c>
      <x:c r="M204" s="26" t="str">
        <x:v>Projection-only v1.0</x:v>
      </x:c>
    </x:row>
  </x:sheetData>
  <x:mergeCells>
    <x:mergeCell ref="A1:M1"/>
    <x:mergeCell ref="A2:M2"/>
  </x:mergeCells>
  <x:conditionalFormatting sqref="B5:B204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25" hidden="0" customWidth="1"/>
  </x:cols>
  <x:sheetData>
    <x:row r="1" ht="34" customHeight="1">
      <x:c r="A1" s="3" t="str">
        <x:v>QB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QB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Josh Allen</x:v>
      </x:c>
      <x:c r="E5" s="26" t="str">
        <x:v>BUF</x:v>
      </x:c>
      <x:c r="F5" s="26" t="str">
        <x:v>QB</x:v>
      </x:c>
      <x:c r="G5" s="28" t="n">
        <x:v>361.1</x:v>
      </x:c>
      <x:c r="H5" s="28" t="n">
        <x:v>70.5</x:v>
      </x:c>
      <x:c r="I5" s="28" t="n">
        <x:v>0</x:v>
      </x:c>
      <x:c r="J5" s="28" t="n">
        <x:v>70.5</x:v>
      </x:c>
      <x:c r="K5" s="27"/>
      <x:c r="L5" s="31" t="str">
        <x:v>ADP NOT LOADED</x:v>
      </x:c>
      <x:c r="M5" s="26" t="str">
        <x:v>Projection-only v1.0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Jayden Daniels</x:v>
      </x:c>
      <x:c r="E6" s="26" t="str">
        <x:v>WAS</x:v>
      </x:c>
      <x:c r="F6" s="26" t="str">
        <x:v>QB</x:v>
      </x:c>
      <x:c r="G6" s="28" t="n">
        <x:v>318.4</x:v>
      </x:c>
      <x:c r="H6" s="28" t="n">
        <x:v>27.799999999999955</x:v>
      </x:c>
      <x:c r="I6" s="28" t="n">
        <x:v>0</x:v>
      </x:c>
      <x:c r="J6" s="28" t="n">
        <x:v>27.799999999999955</x:v>
      </x:c>
      <x:c r="K6" s="27"/>
      <x:c r="L6" s="31" t="str">
        <x:v>ADP NOT LOADED</x:v>
      </x:c>
      <x:c r="M6" s="26" t="str">
        <x:v>Projection-only v1.0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Caleb Williams</x:v>
      </x:c>
      <x:c r="E7" s="26" t="str">
        <x:v>CHI</x:v>
      </x:c>
      <x:c r="F7" s="26" t="str">
        <x:v>QB</x:v>
      </x:c>
      <x:c r="G7" s="28" t="n">
        <x:v>317.1</x:v>
      </x:c>
      <x:c r="H7" s="28" t="n">
        <x:v>26.5</x:v>
      </x:c>
      <x:c r="I7" s="28" t="n">
        <x:v>0</x:v>
      </x:c>
      <x:c r="J7" s="28" t="n">
        <x:v>26.5</x:v>
      </x:c>
      <x:c r="K7" s="27"/>
      <x:c r="L7" s="31" t="str">
        <x:v>ADP NOT LOADED</x:v>
      </x:c>
      <x:c r="M7" s="26" t="str">
        <x:v>Projection-only v1.0</x:v>
      </x:c>
    </x:row>
    <x:row r="8">
      <x:c r="A8" s="33" t="n">
        <x:v>4</x:v>
      </x:c>
      <x:c r="B8" s="26" t="n">
        <x:v>2</x:v>
      </x:c>
      <x:c r="C8" s="26" t="n">
        <x:v>4</x:v>
      </x:c>
      <x:c r="D8" s="26" t="str">
        <x:v>Lamar Jackson</x:v>
      </x:c>
      <x:c r="E8" s="26" t="str">
        <x:v>BAL</x:v>
      </x:c>
      <x:c r="F8" s="26" t="str">
        <x:v>QB</x:v>
      </x:c>
      <x:c r="G8" s="28" t="n">
        <x:v>316.9</x:v>
      </x:c>
      <x:c r="H8" s="28" t="n">
        <x:v>26.299999999999955</x:v>
      </x:c>
      <x:c r="I8" s="28" t="n">
        <x:v>0</x:v>
      </x:c>
      <x:c r="J8" s="28" t="n">
        <x:v>26.299999999999955</x:v>
      </x:c>
      <x:c r="K8" s="27"/>
      <x:c r="L8" s="31" t="str">
        <x:v>ADP NOT LOADED</x:v>
      </x:c>
      <x:c r="M8" s="26" t="str">
        <x:v>Projection-only v1.0</x:v>
      </x:c>
    </x:row>
    <x:row r="9">
      <x:c r="A9" s="33" t="n">
        <x:v>5</x:v>
      </x:c>
      <x:c r="B9" s="26" t="n">
        <x:v>2</x:v>
      </x:c>
      <x:c r="C9" s="26" t="n">
        <x:v>5</x:v>
      </x:c>
      <x:c r="D9" s="26" t="str">
        <x:v>Drake Maye</x:v>
      </x:c>
      <x:c r="E9" s="26" t="str">
        <x:v>NE</x:v>
      </x:c>
      <x:c r="F9" s="26" t="str">
        <x:v>QB</x:v>
      </x:c>
      <x:c r="G9" s="28" t="n">
        <x:v>316.1</x:v>
      </x:c>
      <x:c r="H9" s="28" t="n">
        <x:v>25.5</x:v>
      </x:c>
      <x:c r="I9" s="28" t="n">
        <x:v>0</x:v>
      </x:c>
      <x:c r="J9" s="28" t="n">
        <x:v>25.5</x:v>
      </x:c>
      <x:c r="K9" s="27"/>
      <x:c r="L9" s="31" t="str">
        <x:v>ADP NOT LOADED</x:v>
      </x:c>
      <x:c r="M9" s="26" t="str">
        <x:v>Projection-only v1.0</x:v>
      </x:c>
    </x:row>
    <x:row r="10">
      <x:c r="A10" s="33" t="n">
        <x:v>6</x:v>
      </x:c>
      <x:c r="B10" s="26" t="n">
        <x:v>2</x:v>
      </x:c>
      <x:c r="C10" s="26" t="n">
        <x:v>6</x:v>
      </x:c>
      <x:c r="D10" s="26" t="str">
        <x:v>Jalen Hurts</x:v>
      </x:c>
      <x:c r="E10" s="26" t="str">
        <x:v>PHI</x:v>
      </x:c>
      <x:c r="F10" s="26" t="str">
        <x:v>QB</x:v>
      </x:c>
      <x:c r="G10" s="28" t="n">
        <x:v>313.7</x:v>
      </x:c>
      <x:c r="H10" s="28" t="n">
        <x:v>23.099999999999966</x:v>
      </x:c>
      <x:c r="I10" s="28" t="n">
        <x:v>0</x:v>
      </x:c>
      <x:c r="J10" s="28" t="n">
        <x:v>23.099999999999966</x:v>
      </x:c>
      <x:c r="K10" s="27"/>
      <x:c r="L10" s="31" t="str">
        <x:v>ADP NOT LOADED</x:v>
      </x:c>
      <x:c r="M10" s="26" t="str">
        <x:v>Projection-only v1.0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Joe Burrow</x:v>
      </x:c>
      <x:c r="E11" s="26" t="str">
        <x:v>CIN</x:v>
      </x:c>
      <x:c r="F11" s="26" t="str">
        <x:v>QB</x:v>
      </x:c>
      <x:c r="G11" s="28" t="n">
        <x:v>305.5</x:v>
      </x:c>
      <x:c r="H11" s="28" t="n">
        <x:v>14.899999999999977</x:v>
      </x:c>
      <x:c r="I11" s="28" t="n">
        <x:v>0</x:v>
      </x:c>
      <x:c r="J11" s="28" t="n">
        <x:v>14.899999999999977</x:v>
      </x:c>
      <x:c r="K11" s="27"/>
      <x:c r="L11" s="31" t="str">
        <x:v>ADP NOT LOADED</x:v>
      </x:c>
      <x:c r="M11" s="26" t="str">
        <x:v>Projection-only v1.0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Trevor Lawrence</x:v>
      </x:c>
      <x:c r="E12" s="26" t="str">
        <x:v>JAX</x:v>
      </x:c>
      <x:c r="F12" s="26" t="str">
        <x:v>QB</x:v>
      </x:c>
      <x:c r="G12" s="28" t="n">
        <x:v>297.7</x:v>
      </x:c>
      <x:c r="H12" s="28" t="n">
        <x:v>7.099999999999966</x:v>
      </x:c>
      <x:c r="I12" s="28" t="n">
        <x:v>0</x:v>
      </x:c>
      <x:c r="J12" s="28" t="n">
        <x:v>7.099999999999966</x:v>
      </x:c>
      <x:c r="K12" s="27"/>
      <x:c r="L12" s="31" t="str">
        <x:v>ADP NOT LOADED</x:v>
      </x:c>
      <x:c r="M12" s="26" t="str">
        <x:v>Projection-only v1.0</x:v>
      </x:c>
    </x:row>
    <x:row r="13">
      <x:c r="A13" s="26" t="n">
        <x:v>9</x:v>
      </x:c>
      <x:c r="B13" s="26" t="n">
        <x:v>3</x:v>
      </x:c>
      <x:c r="C13" s="26" t="n">
        <x:v>9</x:v>
      </x:c>
      <x:c r="D13" s="26" t="str">
        <x:v>Justin Herbert</x:v>
      </x:c>
      <x:c r="E13" s="26" t="str">
        <x:v>LAC</x:v>
      </x:c>
      <x:c r="F13" s="26" t="str">
        <x:v>QB</x:v>
      </x:c>
      <x:c r="G13" s="28" t="n">
        <x:v>297.6</x:v>
      </x:c>
      <x:c r="H13" s="28" t="n">
        <x:v>7</x:v>
      </x:c>
      <x:c r="I13" s="28" t="n">
        <x:v>0</x:v>
      </x:c>
      <x:c r="J13" s="28" t="n">
        <x:v>7</x:v>
      </x:c>
      <x:c r="K13" s="27"/>
      <x:c r="L13" s="31" t="str">
        <x:v>ADP NOT LOADED</x:v>
      </x:c>
      <x:c r="M13" s="26" t="str">
        <x:v>Projection-only v1.0</x:v>
      </x:c>
    </x:row>
    <x:row r="14">
      <x:c r="A14" s="26" t="n">
        <x:v>10</x:v>
      </x:c>
      <x:c r="B14" s="26" t="n">
        <x:v>3</x:v>
      </x:c>
      <x:c r="C14" s="26" t="n">
        <x:v>10</x:v>
      </x:c>
      <x:c r="D14" s="26" t="str">
        <x:v>Jaxson Dart</x:v>
      </x:c>
      <x:c r="E14" s="26" t="str">
        <x:v>NYG</x:v>
      </x:c>
      <x:c r="F14" s="26" t="str">
        <x:v>QB</x:v>
      </x:c>
      <x:c r="G14" s="28" t="n">
        <x:v>296.8</x:v>
      </x:c>
      <x:c r="H14" s="28" t="n">
        <x:v>6.199999999999989</x:v>
      </x:c>
      <x:c r="I14" s="28" t="n">
        <x:v>0</x:v>
      </x:c>
      <x:c r="J14" s="28" t="n">
        <x:v>6.199999999999989</x:v>
      </x:c>
      <x:c r="K14" s="27"/>
      <x:c r="L14" s="31" t="str">
        <x:v>ADP NOT LOADED</x:v>
      </x:c>
      <x:c r="M14" s="26" t="str">
        <x:v>Projection-only v1.0</x:v>
      </x:c>
    </x:row>
    <x:row r="15">
      <x:c r="A15" s="26" t="n">
        <x:v>11</x:v>
      </x:c>
      <x:c r="B15" s="26" t="n">
        <x:v>3</x:v>
      </x:c>
      <x:c r="C15" s="26" t="n">
        <x:v>11</x:v>
      </x:c>
      <x:c r="D15" s="26" t="str">
        <x:v>Bo Nix</x:v>
      </x:c>
      <x:c r="E15" s="26" t="str">
        <x:v>DEN</x:v>
      </x:c>
      <x:c r="F15" s="26" t="str">
        <x:v>QB</x:v>
      </x:c>
      <x:c r="G15" s="28" t="n">
        <x:v>294.1</x:v>
      </x:c>
      <x:c r="H15" s="28" t="n">
        <x:v>3.5</x:v>
      </x:c>
      <x:c r="I15" s="28" t="n">
        <x:v>0</x:v>
      </x:c>
      <x:c r="J15" s="28" t="n">
        <x:v>3.5</x:v>
      </x:c>
      <x:c r="K15" s="27"/>
      <x:c r="L15" s="31" t="str">
        <x:v>ADP NOT LOADED</x:v>
      </x:c>
      <x:c r="M15" s="26" t="str">
        <x:v>Projection-only v1.0</x:v>
      </x:c>
    </x:row>
    <x:row r="16">
      <x:c r="A16" s="26" t="n">
        <x:v>12</x:v>
      </x:c>
      <x:c r="B16" s="26" t="n">
        <x:v>3</x:v>
      </x:c>
      <x:c r="C16" s="26" t="n">
        <x:v>12</x:v>
      </x:c>
      <x:c r="D16" s="26" t="str">
        <x:v>Dak Prescott</x:v>
      </x:c>
      <x:c r="E16" s="26" t="str">
        <x:v>DAL</x:v>
      </x:c>
      <x:c r="F16" s="26" t="str">
        <x:v>QB</x:v>
      </x:c>
      <x:c r="G16" s="28" t="n">
        <x:v>292.6</x:v>
      </x:c>
      <x:c r="H16" s="28" t="n">
        <x:v>2</x:v>
      </x:c>
      <x:c r="I16" s="28" t="n">
        <x:v>0</x:v>
      </x:c>
      <x:c r="J16" s="28" t="n">
        <x:v>2</x:v>
      </x:c>
      <x:c r="K16" s="27"/>
      <x:c r="L16" s="31" t="str">
        <x:v>ADP NOT LOADED</x:v>
      </x:c>
      <x:c r="M16" s="26" t="str">
        <x:v>Projection-only v1.0</x:v>
      </x:c>
    </x:row>
    <x:row r="17">
      <x:c r="A17" s="26" t="n">
        <x:v>13</x:v>
      </x:c>
      <x:c r="B17" s="26" t="n">
        <x:v>3</x:v>
      </x:c>
      <x:c r="C17" s="26" t="n">
        <x:v>13</x:v>
      </x:c>
      <x:c r="D17" s="26" t="str">
        <x:v>Brock Purdy</x:v>
      </x:c>
      <x:c r="E17" s="26" t="str">
        <x:v>SF</x:v>
      </x:c>
      <x:c r="F17" s="26" t="str">
        <x:v>QB</x:v>
      </x:c>
      <x:c r="G17" s="28" t="n">
        <x:v>290.6</x:v>
      </x:c>
      <x:c r="H17" s="28" t="n">
        <x:v>0</x:v>
      </x:c>
      <x:c r="I17" s="28" t="n">
        <x:v>0</x:v>
      </x:c>
      <x:c r="J17" s="28" t="n">
        <x:v>0</x:v>
      </x:c>
      <x:c r="K17" s="27"/>
      <x:c r="L17" s="31" t="str">
        <x:v>ADP NOT LOADED</x:v>
      </x:c>
      <x:c r="M17" s="26" t="str">
        <x:v>Projection-only v1.0</x:v>
      </x:c>
    </x:row>
    <x:row r="18">
      <x:c r="A18" s="26" t="n">
        <x:v>14</x:v>
      </x:c>
      <x:c r="B18" s="26" t="n">
        <x:v>3</x:v>
      </x:c>
      <x:c r="C18" s="26" t="n">
        <x:v>14</x:v>
      </x:c>
      <x:c r="D18" s="26" t="str">
        <x:v>Jared Goff</x:v>
      </x:c>
      <x:c r="E18" s="26" t="str">
        <x:v>DET</x:v>
      </x:c>
      <x:c r="F18" s="26" t="str">
        <x:v>QB</x:v>
      </x:c>
      <x:c r="G18" s="28" t="n">
        <x:v>289.5</x:v>
      </x:c>
      <x:c r="H18" s="28" t="n">
        <x:v>-1.1000000000000227</x:v>
      </x:c>
      <x:c r="I18" s="28" t="n">
        <x:v>0</x:v>
      </x:c>
      <x:c r="J18" s="28" t="n">
        <x:v>-1.1000000000000227</x:v>
      </x:c>
      <x:c r="K18" s="27"/>
      <x:c r="L18" s="31" t="str">
        <x:v>ADP NOT LOADED</x:v>
      </x:c>
      <x:c r="M18" s="26" t="str">
        <x:v>Projection-only v1.0</x:v>
      </x:c>
    </x:row>
    <x:row r="19">
      <x:c r="A19" s="26" t="n">
        <x:v>15</x:v>
      </x:c>
      <x:c r="B19" s="26" t="n">
        <x:v>4</x:v>
      </x:c>
      <x:c r="C19" s="26" t="n">
        <x:v>15</x:v>
      </x:c>
      <x:c r="D19" s="26" t="str">
        <x:v>Patrick Mahomes</x:v>
      </x:c>
      <x:c r="E19" s="26" t="str">
        <x:v>KC</x:v>
      </x:c>
      <x:c r="F19" s="26" t="str">
        <x:v>QB</x:v>
      </x:c>
      <x:c r="G19" s="28" t="n">
        <x:v>285.3</x:v>
      </x:c>
      <x:c r="H19" s="28" t="n">
        <x:v>-5.300000000000011</x:v>
      </x:c>
      <x:c r="I19" s="28" t="n">
        <x:v>0</x:v>
      </x:c>
      <x:c r="J19" s="28" t="n">
        <x:v>-5.300000000000011</x:v>
      </x:c>
      <x:c r="K19" s="27"/>
      <x:c r="L19" s="31" t="str">
        <x:v>ADP NOT LOADED</x:v>
      </x:c>
      <x:c r="M19" s="26" t="str">
        <x:v>Projection-only v1.0</x:v>
      </x:c>
    </x:row>
    <x:row r="20">
      <x:c r="A20" s="26" t="n">
        <x:v>16</x:v>
      </x:c>
      <x:c r="B20" s="26" t="n">
        <x:v>4</x:v>
      </x:c>
      <x:c r="C20" s="26" t="n">
        <x:v>16</x:v>
      </x:c>
      <x:c r="D20" s="26" t="str">
        <x:v>Baker Mayfield</x:v>
      </x:c>
      <x:c r="E20" s="26" t="str">
        <x:v>TB</x:v>
      </x:c>
      <x:c r="F20" s="26" t="str">
        <x:v>QB</x:v>
      </x:c>
      <x:c r="G20" s="28" t="n">
        <x:v>275.2</x:v>
      </x:c>
      <x:c r="H20" s="28" t="n">
        <x:v>-15.400000000000034</x:v>
      </x:c>
      <x:c r="I20" s="28" t="n">
        <x:v>0</x:v>
      </x:c>
      <x:c r="J20" s="28" t="n">
        <x:v>-15.400000000000034</x:v>
      </x:c>
      <x:c r="K20" s="27"/>
      <x:c r="L20" s="31" t="str">
        <x:v>ADP NOT LOADED</x:v>
      </x:c>
      <x:c r="M20" s="26" t="str">
        <x:v>Projection-only v1.0</x:v>
      </x:c>
    </x:row>
    <x:row r="21">
      <x:c r="A21" s="26" t="n">
        <x:v>17</x:v>
      </x:c>
      <x:c r="B21" s="26" t="n">
        <x:v>4</x:v>
      </x:c>
      <x:c r="C21" s="26" t="n">
        <x:v>17</x:v>
      </x:c>
      <x:c r="D21" s="26" t="str">
        <x:v>Matthew Stafford</x:v>
      </x:c>
      <x:c r="E21" s="26" t="str">
        <x:v>LAR</x:v>
      </x:c>
      <x:c r="F21" s="26" t="str">
        <x:v>QB</x:v>
      </x:c>
      <x:c r="G21" s="28" t="n">
        <x:v>273.1</x:v>
      </x:c>
      <x:c r="H21" s="28" t="n">
        <x:v>-17.5</x:v>
      </x:c>
      <x:c r="I21" s="28" t="n">
        <x:v>0</x:v>
      </x:c>
      <x:c r="J21" s="28" t="n">
        <x:v>-17.5</x:v>
      </x:c>
      <x:c r="K21" s="27"/>
      <x:c r="L21" s="31" t="str">
        <x:v>ADP NOT LOADED</x:v>
      </x:c>
      <x:c r="M21" s="26" t="str">
        <x:v>Projection-only v1.0</x:v>
      </x:c>
    </x:row>
    <x:row r="22">
      <x:c r="A22" s="26" t="n">
        <x:v>18</x:v>
      </x:c>
      <x:c r="B22" s="26" t="n">
        <x:v>4</x:v>
      </x:c>
      <x:c r="C22" s="26" t="n">
        <x:v>18</x:v>
      </x:c>
      <x:c r="D22" s="26" t="str">
        <x:v>Tyler Shough</x:v>
      </x:c>
      <x:c r="E22" s="26" t="str">
        <x:v>NO</x:v>
      </x:c>
      <x:c r="F22" s="26" t="str">
        <x:v>QB</x:v>
      </x:c>
      <x:c r="G22" s="28" t="n">
        <x:v>268.9</x:v>
      </x:c>
      <x:c r="H22" s="28" t="n">
        <x:v>-21.700000000000045</x:v>
      </x:c>
      <x:c r="I22" s="28" t="n">
        <x:v>0</x:v>
      </x:c>
      <x:c r="J22" s="28" t="n">
        <x:v>-21.700000000000045</x:v>
      </x:c>
      <x:c r="K22" s="27"/>
      <x:c r="L22" s="31" t="str">
        <x:v>ADP NOT LOADED</x:v>
      </x:c>
      <x:c r="M22" s="26" t="str">
        <x:v>Projection-only v1.0</x:v>
      </x:c>
    </x:row>
    <x:row r="23">
      <x:c r="A23" s="26" t="n">
        <x:v>19</x:v>
      </x:c>
      <x:c r="B23" s="26" t="n">
        <x:v>4</x:v>
      </x:c>
      <x:c r="C23" s="26" t="n">
        <x:v>19</x:v>
      </x:c>
      <x:c r="D23" s="26" t="str">
        <x:v>Jordan Love</x:v>
      </x:c>
      <x:c r="E23" s="26" t="str">
        <x:v>GB</x:v>
      </x:c>
      <x:c r="F23" s="26" t="str">
        <x:v>QB</x:v>
      </x:c>
      <x:c r="G23" s="28" t="n">
        <x:v>268.8</x:v>
      </x:c>
      <x:c r="H23" s="28" t="n">
        <x:v>-21.80000000000001</x:v>
      </x:c>
      <x:c r="I23" s="28" t="n">
        <x:v>0</x:v>
      </x:c>
      <x:c r="J23" s="28" t="n">
        <x:v>-21.80000000000001</x:v>
      </x:c>
      <x:c r="K23" s="27"/>
      <x:c r="L23" s="31" t="str">
        <x:v>ADP NOT LOADED</x:v>
      </x:c>
      <x:c r="M23" s="26" t="str">
        <x:v>Projection-only v1.0</x:v>
      </x:c>
    </x:row>
    <x:row r="24">
      <x:c r="A24" s="26" t="n">
        <x:v>20</x:v>
      </x:c>
      <x:c r="B24" s="26" t="n">
        <x:v>4</x:v>
      </x:c>
      <x:c r="C24" s="26" t="n">
        <x:v>20</x:v>
      </x:c>
      <x:c r="D24" s="26" t="str">
        <x:v>Kyler Murray</x:v>
      </x:c>
      <x:c r="E24" s="26" t="str">
        <x:v>MIN</x:v>
      </x:c>
      <x:c r="F24" s="26" t="str">
        <x:v>QB</x:v>
      </x:c>
      <x:c r="G24" s="28" t="n">
        <x:v>263.7</x:v>
      </x:c>
      <x:c r="H24" s="28" t="n">
        <x:v>-26.900000000000034</x:v>
      </x:c>
      <x:c r="I24" s="28" t="n">
        <x:v>0</x:v>
      </x:c>
      <x:c r="J24" s="28" t="n">
        <x:v>-26.900000000000034</x:v>
      </x:c>
      <x:c r="K24" s="27"/>
      <x:c r="L24" s="31" t="str">
        <x:v>ADP NOT LOADED</x:v>
      </x:c>
      <x:c r="M24" s="26" t="str">
        <x:v>Projection-only v1.0</x:v>
      </x:c>
    </x:row>
    <x:row r="25">
      <x:c r="A25" s="26" t="n">
        <x:v>21</x:v>
      </x:c>
      <x:c r="B25" s="26" t="n">
        <x:v>4</x:v>
      </x:c>
      <x:c r="C25" s="26" t="n">
        <x:v>21</x:v>
      </x:c>
      <x:c r="D25" s="26" t="str">
        <x:v>Malik Willis</x:v>
      </x:c>
      <x:c r="E25" s="26" t="str">
        <x:v>MIA</x:v>
      </x:c>
      <x:c r="F25" s="26" t="str">
        <x:v>QB</x:v>
      </x:c>
      <x:c r="G25" s="28" t="n">
        <x:v>259.4</x:v>
      </x:c>
      <x:c r="H25" s="28" t="n">
        <x:v>-31.200000000000045</x:v>
      </x:c>
      <x:c r="I25" s="28" t="n">
        <x:v>0</x:v>
      </x:c>
      <x:c r="J25" s="28" t="n">
        <x:v>-31.200000000000045</x:v>
      </x:c>
      <x:c r="K25" s="27"/>
      <x:c r="L25" s="31" t="str">
        <x:v>ADP NOT LOADED</x:v>
      </x:c>
      <x:c r="M25" s="26" t="str">
        <x:v>Projection-only v1.0</x:v>
      </x:c>
    </x:row>
    <x:row r="26">
      <x:c r="A26" s="26" t="n">
        <x:v>22</x:v>
      </x:c>
      <x:c r="B26" s="26" t="n">
        <x:v>4</x:v>
      </x:c>
      <x:c r="C26" s="26" t="n">
        <x:v>22</x:v>
      </x:c>
      <x:c r="D26" s="26" t="str">
        <x:v>C.J. Stroud</x:v>
      </x:c>
      <x:c r="E26" s="26" t="str">
        <x:v>HOU</x:v>
      </x:c>
      <x:c r="F26" s="26" t="str">
        <x:v>QB</x:v>
      </x:c>
      <x:c r="G26" s="28" t="n">
        <x:v>253.9</x:v>
      </x:c>
      <x:c r="H26" s="28" t="n">
        <x:v>-36.70000000000002</x:v>
      </x:c>
      <x:c r="I26" s="28" t="n">
        <x:v>0</x:v>
      </x:c>
      <x:c r="J26" s="28" t="n">
        <x:v>-36.70000000000002</x:v>
      </x:c>
      <x:c r="K26" s="27"/>
      <x:c r="L26" s="31" t="str">
        <x:v>ADP NOT LOADED</x:v>
      </x:c>
      <x:c r="M26" s="26" t="str">
        <x:v>Projection-only v1.0</x:v>
      </x:c>
    </x:row>
    <x:row r="27">
      <x:c r="A27" s="26" t="n">
        <x:v>23</x:v>
      </x:c>
      <x:c r="B27" s="26" t="n">
        <x:v>4</x:v>
      </x:c>
      <x:c r="C27" s="26" t="n">
        <x:v>23</x:v>
      </x:c>
      <x:c r="D27" s="26" t="str">
        <x:v>Daniel Jones</x:v>
      </x:c>
      <x:c r="E27" s="26" t="str">
        <x:v>IND</x:v>
      </x:c>
      <x:c r="F27" s="26" t="str">
        <x:v>QB</x:v>
      </x:c>
      <x:c r="G27" s="28" t="n">
        <x:v>250.5</x:v>
      </x:c>
      <x:c r="H27" s="28" t="n">
        <x:v>-40.10000000000002</x:v>
      </x:c>
      <x:c r="I27" s="28" t="n">
        <x:v>0</x:v>
      </x:c>
      <x:c r="J27" s="28" t="n">
        <x:v>-40.10000000000002</x:v>
      </x:c>
      <x:c r="K27" s="27"/>
      <x:c r="L27" s="31" t="str">
        <x:v>ADP NOT LOADED</x:v>
      </x:c>
      <x:c r="M27" s="26" t="str">
        <x:v>Projection-only v1.0</x:v>
      </x:c>
    </x:row>
    <x:row r="28">
      <x:c r="A28" s="26" t="n">
        <x:v>24</x:v>
      </x:c>
      <x:c r="B28" s="26" t="n">
        <x:v>4</x:v>
      </x:c>
      <x:c r="C28" s="26" t="n">
        <x:v>24</x:v>
      </x:c>
      <x:c r="D28" s="26" t="str">
        <x:v>Cam Ward</x:v>
      </x:c>
      <x:c r="E28" s="26" t="str">
        <x:v>TEN</x:v>
      </x:c>
      <x:c r="F28" s="26" t="str">
        <x:v>QB</x:v>
      </x:c>
      <x:c r="G28" s="28" t="n">
        <x:v>246.1</x:v>
      </x:c>
      <x:c r="H28" s="28" t="n">
        <x:v>-44.50000000000003</x:v>
      </x:c>
      <x:c r="I28" s="28" t="n">
        <x:v>0</x:v>
      </x:c>
      <x:c r="J28" s="28" t="n">
        <x:v>-44.50000000000003</x:v>
      </x:c>
      <x:c r="K28" s="27"/>
      <x:c r="L28" s="31" t="str">
        <x:v>ADP NOT LOADED</x:v>
      </x:c>
      <x:c r="M28" s="26" t="str">
        <x:v>Projection-only v1.0</x:v>
      </x:c>
    </x:row>
    <x:row r="29">
      <x:c r="A29" s="26" t="n">
        <x:v>25</x:v>
      </x:c>
      <x:c r="B29" s="26" t="n">
        <x:v>5</x:v>
      </x:c>
      <x:c r="C29" s="26" t="n">
        <x:v>25</x:v>
      </x:c>
      <x:c r="D29" s="26" t="str">
        <x:v>Sam Darnold</x:v>
      </x:c>
      <x:c r="E29" s="26" t="str">
        <x:v>SEA</x:v>
      </x:c>
      <x:c r="F29" s="26" t="str">
        <x:v>QB</x:v>
      </x:c>
      <x:c r="G29" s="28" t="n">
        <x:v>245.1</x:v>
      </x:c>
      <x:c r="H29" s="28" t="n">
        <x:v>-45.50000000000003</x:v>
      </x:c>
      <x:c r="I29" s="28" t="n">
        <x:v>0</x:v>
      </x:c>
      <x:c r="J29" s="28" t="n">
        <x:v>-45.50000000000003</x:v>
      </x:c>
      <x:c r="K29" s="27"/>
      <x:c r="L29" s="31" t="str">
        <x:v>ADP NOT LOADED</x:v>
      </x:c>
      <x:c r="M29" s="26" t="str">
        <x:v>Projection-only v1.0</x:v>
      </x:c>
    </x:row>
    <x:row r="30">
      <x:c r="A30" s="26" t="n">
        <x:v>26</x:v>
      </x:c>
      <x:c r="B30" s="26" t="n">
        <x:v>5</x:v>
      </x:c>
      <x:c r="C30" s="26" t="n">
        <x:v>26</x:v>
      </x:c>
      <x:c r="D30" s="26" t="str">
        <x:v>Aaron Rodgers</x:v>
      </x:c>
      <x:c r="E30" s="26" t="str">
        <x:v>PIT</x:v>
      </x:c>
      <x:c r="F30" s="26" t="str">
        <x:v>QB</x:v>
      </x:c>
      <x:c r="G30" s="28" t="n">
        <x:v>226.6</x:v>
      </x:c>
      <x:c r="H30" s="28" t="n">
        <x:v>-64.00000000000003</x:v>
      </x:c>
      <x:c r="I30" s="28" t="n">
        <x:v>0</x:v>
      </x:c>
      <x:c r="J30" s="28" t="n">
        <x:v>-64.00000000000003</x:v>
      </x:c>
      <x:c r="K30" s="27"/>
      <x:c r="L30" s="31" t="str">
        <x:v>ADP NOT LOADED</x:v>
      </x:c>
      <x:c r="M30" s="26" t="str">
        <x:v>Projection-only v1.0</x:v>
      </x:c>
    </x:row>
    <x:row r="31">
      <x:c r="A31" s="26" t="n">
        <x:v>27</x:v>
      </x:c>
      <x:c r="B31" s="26" t="n">
        <x:v>5</x:v>
      </x:c>
      <x:c r="C31" s="26" t="n">
        <x:v>27</x:v>
      </x:c>
      <x:c r="D31" s="26" t="str">
        <x:v>Bryce Young</x:v>
      </x:c>
      <x:c r="E31" s="26" t="str">
        <x:v>CAR</x:v>
      </x:c>
      <x:c r="F31" s="26" t="str">
        <x:v>QB</x:v>
      </x:c>
      <x:c r="G31" s="28" t="n">
        <x:v>226</x:v>
      </x:c>
      <x:c r="H31" s="28" t="n">
        <x:v>-64.60000000000002</x:v>
      </x:c>
      <x:c r="I31" s="28" t="n">
        <x:v>0</x:v>
      </x:c>
      <x:c r="J31" s="28" t="n">
        <x:v>-64.60000000000002</x:v>
      </x:c>
      <x:c r="K31" s="27"/>
      <x:c r="L31" s="31" t="str">
        <x:v>ADP NOT LOADED</x:v>
      </x:c>
      <x:c r="M31" s="26" t="str">
        <x:v>Projection-only v1.0</x:v>
      </x:c>
    </x:row>
    <x:row r="32">
      <x:c r="A32" s="26" t="n">
        <x:v>28</x:v>
      </x:c>
      <x:c r="B32" s="26" t="n">
        <x:v>5</x:v>
      </x:c>
      <x:c r="C32" s="26" t="n">
        <x:v>28</x:v>
      </x:c>
      <x:c r="D32" s="26" t="str">
        <x:v>Geno Smith</x:v>
      </x:c>
      <x:c r="E32" s="26" t="str">
        <x:v>NYJ</x:v>
      </x:c>
      <x:c r="F32" s="26" t="str">
        <x:v>QB</x:v>
      </x:c>
      <x:c r="G32" s="28" t="n">
        <x:v>216.8</x:v>
      </x:c>
      <x:c r="H32" s="28" t="n">
        <x:v>-73.80000000000001</x:v>
      </x:c>
      <x:c r="I32" s="28" t="n">
        <x:v>0</x:v>
      </x:c>
      <x:c r="J32" s="28" t="n">
        <x:v>-73.80000000000001</x:v>
      </x:c>
      <x:c r="K32" s="27"/>
      <x:c r="L32" s="31" t="str">
        <x:v>ADP NOT LOADED</x:v>
      </x:c>
      <x:c r="M32" s="26" t="str">
        <x:v>Projection-only v1.0</x:v>
      </x:c>
    </x:row>
    <x:row r="33">
      <x:c r="A33" s="26" t="n">
        <x:v>29</x:v>
      </x:c>
      <x:c r="B33" s="26" t="n">
        <x:v>5</x:v>
      </x:c>
      <x:c r="C33" s="26" t="n">
        <x:v>29</x:v>
      </x:c>
      <x:c r="D33" s="26" t="str">
        <x:v>Kirk Cousins</x:v>
      </x:c>
      <x:c r="E33" s="26" t="str">
        <x:v>LV</x:v>
      </x:c>
      <x:c r="F33" s="26" t="str">
        <x:v>QB</x:v>
      </x:c>
      <x:c r="G33" s="28" t="n">
        <x:v>190.1</x:v>
      </x:c>
      <x:c r="H33" s="28" t="n">
        <x:v>-100.50000000000003</x:v>
      </x:c>
      <x:c r="I33" s="28" t="n">
        <x:v>0</x:v>
      </x:c>
      <x:c r="J33" s="28" t="n">
        <x:v>-100.50000000000003</x:v>
      </x:c>
      <x:c r="K33" s="27"/>
      <x:c r="L33" s="31" t="str">
        <x:v>ADP NOT LOADED</x:v>
      </x:c>
      <x:c r="M33" s="26" t="str">
        <x:v>Projection-only v1.0</x:v>
      </x:c>
    </x:row>
    <x:row r="34">
      <x:c r="A34" s="26" t="n">
        <x:v>30</x:v>
      </x:c>
      <x:c r="B34" s="26" t="n">
        <x:v>5</x:v>
      </x:c>
      <x:c r="C34" s="26" t="n">
        <x:v>30</x:v>
      </x:c>
      <x:c r="D34" s="26" t="str">
        <x:v>Tua Tagovailoa</x:v>
      </x:c>
      <x:c r="E34" s="26" t="str">
        <x:v>ATL</x:v>
      </x:c>
      <x:c r="F34" s="26" t="str">
        <x:v>QB</x:v>
      </x:c>
      <x:c r="G34" s="28" t="n">
        <x:v>168.2</x:v>
      </x:c>
      <x:c r="H34" s="28" t="n">
        <x:v>-122.40000000000003</x:v>
      </x:c>
      <x:c r="I34" s="28" t="n">
        <x:v>0</x:v>
      </x:c>
      <x:c r="J34" s="28" t="n">
        <x:v>-122.40000000000003</x:v>
      </x:c>
      <x:c r="K34" s="27"/>
      <x:c r="L34" s="31" t="str">
        <x:v>ADP NOT LOADED</x:v>
      </x:c>
      <x:c r="M34" s="26" t="str">
        <x:v>Projection-only v1.0</x:v>
      </x:c>
    </x:row>
    <x:row r="35">
      <x:c r="A35" s="26" t="n">
        <x:v>31</x:v>
      </x:c>
      <x:c r="B35" s="26" t="n">
        <x:v>5</x:v>
      </x:c>
      <x:c r="C35" s="26" t="n">
        <x:v>31</x:v>
      </x:c>
      <x:c r="D35" s="26" t="str">
        <x:v>Jacoby Brissett</x:v>
      </x:c>
      <x:c r="E35" s="26" t="str">
        <x:v>ARI</x:v>
      </x:c>
      <x:c r="F35" s="26" t="str">
        <x:v>QB</x:v>
      </x:c>
      <x:c r="G35" s="28" t="n">
        <x:v>155</x:v>
      </x:c>
      <x:c r="H35" s="28" t="n">
        <x:v>-135.60000000000002</x:v>
      </x:c>
      <x:c r="I35" s="28" t="n">
        <x:v>0</x:v>
      </x:c>
      <x:c r="J35" s="28" t="n">
        <x:v>-135.60000000000002</x:v>
      </x:c>
      <x:c r="K35" s="27"/>
      <x:c r="L35" s="31" t="str">
        <x:v>ADP NOT LOADED</x:v>
      </x:c>
      <x:c r="M35" s="26" t="str">
        <x:v>Projection-only v1.0</x:v>
      </x:c>
    </x:row>
    <x:row r="36">
      <x:c r="A36" s="26" t="n">
        <x:v>32</x:v>
      </x:c>
      <x:c r="B36" s="26" t="n">
        <x:v>5</x:v>
      </x:c>
      <x:c r="C36" s="26" t="n">
        <x:v>32</x:v>
      </x:c>
      <x:c r="D36" s="26" t="str">
        <x:v>Shedeur Sanders</x:v>
      </x:c>
      <x:c r="E36" s="26" t="str">
        <x:v>CLE</x:v>
      </x:c>
      <x:c r="F36" s="26" t="str">
        <x:v>QB</x:v>
      </x:c>
      <x:c r="G36" s="28" t="n">
        <x:v>115.1</x:v>
      </x:c>
      <x:c r="H36" s="28" t="n">
        <x:v>-175.50000000000003</x:v>
      </x:c>
      <x:c r="I36" s="28" t="n">
        <x:v>0</x:v>
      </x:c>
      <x:c r="J36" s="28" t="n">
        <x:v>-175.50000000000003</x:v>
      </x:c>
      <x:c r="K36" s="27"/>
      <x:c r="L36" s="31" t="str">
        <x:v>ADP NOT LOADED</x:v>
      </x:c>
      <x:c r="M36" s="26" t="str">
        <x:v>Projection-only v1.0</x:v>
      </x:c>
    </x:row>
    <x:row r="37">
      <x:c r="A37" s="26" t="n">
        <x:v>33</x:v>
      </x:c>
      <x:c r="B37" s="26" t="n">
        <x:v>5</x:v>
      </x:c>
      <x:c r="C37" s="26" t="n">
        <x:v>33</x:v>
      </x:c>
      <x:c r="D37" s="26" t="str">
        <x:v>Deshaun Watson</x:v>
      </x:c>
      <x:c r="E37" s="26" t="str">
        <x:v>CLE</x:v>
      </x:c>
      <x:c r="F37" s="26" t="str">
        <x:v>QB</x:v>
      </x:c>
      <x:c r="G37" s="28" t="n">
        <x:v>107.4</x:v>
      </x:c>
      <x:c r="H37" s="28" t="n">
        <x:v>-183.20000000000002</x:v>
      </x:c>
      <x:c r="I37" s="28" t="n">
        <x:v>0</x:v>
      </x:c>
      <x:c r="J37" s="28" t="n">
        <x:v>-183.20000000000002</x:v>
      </x:c>
      <x:c r="K37" s="27"/>
      <x:c r="L37" s="31" t="str">
        <x:v>ADP NOT LOADED</x:v>
      </x:c>
      <x:c r="M37" s="26" t="str">
        <x:v>Projection-only v1.0</x:v>
      </x:c>
    </x:row>
    <x:row r="38">
      <x:c r="A38" s="26" t="n">
        <x:v>34</x:v>
      </x:c>
      <x:c r="B38" s="26" t="n">
        <x:v>5</x:v>
      </x:c>
      <x:c r="C38" s="26" t="n">
        <x:v>34</x:v>
      </x:c>
      <x:c r="D38" s="26" t="str">
        <x:v>Carson Beck</x:v>
      </x:c>
      <x:c r="E38" s="26" t="str">
        <x:v>ARI</x:v>
      </x:c>
      <x:c r="F38" s="26" t="str">
        <x:v>QB</x:v>
      </x:c>
      <x:c r="G38" s="28" t="n">
        <x:v>102.8</x:v>
      </x:c>
      <x:c r="H38" s="28" t="n">
        <x:v>-187.8</x:v>
      </x:c>
      <x:c r="I38" s="28" t="n">
        <x:v>0</x:v>
      </x:c>
      <x:c r="J38" s="28" t="n">
        <x:v>-187.8</x:v>
      </x:c>
      <x:c r="K38" s="27"/>
      <x:c r="L38" s="31" t="str">
        <x:v>ADP NOT LOADED</x:v>
      </x:c>
      <x:c r="M38" s="26" t="str">
        <x:v>Projection-only v1.0</x:v>
      </x:c>
    </x:row>
    <x:row r="39">
      <x:c r="A39" s="26" t="n">
        <x:v>35</x:v>
      </x:c>
      <x:c r="B39" s="26" t="n">
        <x:v>5</x:v>
      </x:c>
      <x:c r="C39" s="26" t="n">
        <x:v>35</x:v>
      </x:c>
      <x:c r="D39" s="26" t="str">
        <x:v>Michael Penix Jr.</x:v>
      </x:c>
      <x:c r="E39" s="26" t="str">
        <x:v>ATL</x:v>
      </x:c>
      <x:c r="F39" s="26" t="str">
        <x:v>QB</x:v>
      </x:c>
      <x:c r="G39" s="28" t="n">
        <x:v>67.4</x:v>
      </x:c>
      <x:c r="H39" s="28" t="n">
        <x:v>-223.20000000000002</x:v>
      </x:c>
      <x:c r="I39" s="28" t="n">
        <x:v>0</x:v>
      </x:c>
      <x:c r="J39" s="28" t="n">
        <x:v>-223.20000000000002</x:v>
      </x:c>
      <x:c r="K39" s="27"/>
      <x:c r="L39" s="31" t="str">
        <x:v>ADP NOT LOADED</x:v>
      </x:c>
      <x:c r="M39" s="26" t="str">
        <x:v>Projection-only v1.0</x:v>
      </x:c>
    </x:row>
    <x:row r="40">
      <x:c r="A40" s="26" t="n">
        <x:v>36</x:v>
      </x:c>
      <x:c r="B40" s="26" t="n">
        <x:v>5</x:v>
      </x:c>
      <x:c r="C40" s="26" t="n">
        <x:v>36</x:v>
      </x:c>
      <x:c r="D40" s="26" t="str">
        <x:v>Fernando Mendoza</x:v>
      </x:c>
      <x:c r="E40" s="26" t="str">
        <x:v>LV</x:v>
      </x:c>
      <x:c r="F40" s="26" t="str">
        <x:v>QB</x:v>
      </x:c>
      <x:c r="G40" s="28" t="n">
        <x:v>48</x:v>
      </x:c>
      <x:c r="H40" s="28" t="n">
        <x:v>-242.60000000000002</x:v>
      </x:c>
      <x:c r="I40" s="28" t="n">
        <x:v>0</x:v>
      </x:c>
      <x:c r="J40" s="28" t="n">
        <x:v>-242.60000000000002</x:v>
      </x:c>
      <x:c r="K40" s="27"/>
      <x:c r="L40" s="31" t="str">
        <x:v>ADP NOT LOADED</x:v>
      </x:c>
      <x:c r="M40" s="26" t="str">
        <x:v>Projection-only v1.0</x:v>
      </x:c>
    </x:row>
    <x:row r="41">
      <x:c r="A41" s="26" t="n">
        <x:v>37</x:v>
      </x:c>
      <x:c r="B41" s="26" t="n">
        <x:v>5</x:v>
      </x:c>
      <x:c r="C41" s="26" t="n">
        <x:v>37</x:v>
      </x:c>
      <x:c r="D41" s="26" t="str">
        <x:v>J.J. McCarthy</x:v>
      </x:c>
      <x:c r="E41" s="26" t="str">
        <x:v>MIN</x:v>
      </x:c>
      <x:c r="F41" s="26" t="str">
        <x:v>QB</x:v>
      </x:c>
      <x:c r="G41" s="28" t="n">
        <x:v>27.3</x:v>
      </x:c>
      <x:c r="H41" s="28" t="n">
        <x:v>-263.3</x:v>
      </x:c>
      <x:c r="I41" s="28" t="n">
        <x:v>0</x:v>
      </x:c>
      <x:c r="J41" s="28" t="n">
        <x:v>-263.3</x:v>
      </x:c>
      <x:c r="K41" s="27"/>
      <x:c r="L41" s="31" t="str">
        <x:v>ADP NOT LOADED</x:v>
      </x:c>
      <x:c r="M41" s="26" t="str">
        <x:v>Projection-only v1.0</x:v>
      </x:c>
    </x:row>
  </x:sheetData>
  <x:mergeCells>
    <x:mergeCell ref="A1:M1"/>
    <x:mergeCell ref="A2:M2"/>
  </x:mergeCells>
  <x:conditionalFormatting sqref="B5:B41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25" hidden="0" customWidth="1"/>
  </x:cols>
  <x:sheetData>
    <x:row r="1" ht="34" customHeight="1">
      <x:c r="A1" s="3" t="str">
        <x:v>RB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RB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Jahmyr Gibbs</x:v>
      </x:c>
      <x:c r="E5" s="26" t="str">
        <x:v>DET</x:v>
      </x:c>
      <x:c r="F5" s="26" t="str">
        <x:v>RB</x:v>
      </x:c>
      <x:c r="G5" s="28" t="n">
        <x:v>332.2</x:v>
      </x:c>
      <x:c r="H5" s="28" t="n">
        <x:v>207.7</x:v>
      </x:c>
      <x:c r="I5" s="28" t="n">
        <x:v>0</x:v>
      </x:c>
      <x:c r="J5" s="28" t="n">
        <x:v>207.7</x:v>
      </x:c>
      <x:c r="K5" s="27"/>
      <x:c r="L5" s="31" t="str">
        <x:v>ADP NOT LOADED</x:v>
      </x:c>
      <x:c r="M5" s="26" t="str">
        <x:v>Projection-only v1.0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Bijan Robinson</x:v>
      </x:c>
      <x:c r="E6" s="26" t="str">
        <x:v>ATL</x:v>
      </x:c>
      <x:c r="F6" s="26" t="str">
        <x:v>RB</x:v>
      </x:c>
      <x:c r="G6" s="28" t="n">
        <x:v>326.4</x:v>
      </x:c>
      <x:c r="H6" s="28" t="n">
        <x:v>201.89999999999998</x:v>
      </x:c>
      <x:c r="I6" s="28" t="n">
        <x:v>0</x:v>
      </x:c>
      <x:c r="J6" s="28" t="n">
        <x:v>201.89999999999998</x:v>
      </x:c>
      <x:c r="K6" s="27"/>
      <x:c r="L6" s="31" t="str">
        <x:v>ADP NOT LOADED</x:v>
      </x:c>
      <x:c r="M6" s="26" t="str">
        <x:v>Projection-only v1.0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Christian McCaffrey</x:v>
      </x:c>
      <x:c r="E7" s="26" t="str">
        <x:v>SF</x:v>
      </x:c>
      <x:c r="F7" s="26" t="str">
        <x:v>RB</x:v>
      </x:c>
      <x:c r="G7" s="28" t="n">
        <x:v>288.1</x:v>
      </x:c>
      <x:c r="H7" s="28" t="n">
        <x:v>163.60000000000002</x:v>
      </x:c>
      <x:c r="I7" s="28" t="n">
        <x:v>0</x:v>
      </x:c>
      <x:c r="J7" s="28" t="n">
        <x:v>163.60000000000002</x:v>
      </x:c>
      <x:c r="K7" s="27"/>
      <x:c r="L7" s="31" t="str">
        <x:v>ADP NOT LOADED</x:v>
      </x:c>
      <x:c r="M7" s="26" t="str">
        <x:v>Projection-only v1.0</x:v>
      </x:c>
    </x:row>
    <x:row r="8">
      <x:c r="A8" s="33" t="n">
        <x:v>4</x:v>
      </x:c>
      <x:c r="B8" s="26" t="n">
        <x:v>1</x:v>
      </x:c>
      <x:c r="C8" s="26" t="n">
        <x:v>4</x:v>
      </x:c>
      <x:c r="D8" s="26" t="str">
        <x:v>Jonathan Taylor</x:v>
      </x:c>
      <x:c r="E8" s="26" t="str">
        <x:v>IND</x:v>
      </x:c>
      <x:c r="F8" s="26" t="str">
        <x:v>RB</x:v>
      </x:c>
      <x:c r="G8" s="28" t="n">
        <x:v>285.8</x:v>
      </x:c>
      <x:c r="H8" s="28" t="n">
        <x:v>161.3</x:v>
      </x:c>
      <x:c r="I8" s="28" t="n">
        <x:v>0</x:v>
      </x:c>
      <x:c r="J8" s="28" t="n">
        <x:v>161.3</x:v>
      </x:c>
      <x:c r="K8" s="27"/>
      <x:c r="L8" s="31" t="str">
        <x:v>ADP NOT LOADED</x:v>
      </x:c>
      <x:c r="M8" s="26" t="str">
        <x:v>Projection-only v1.0</x:v>
      </x:c>
    </x:row>
    <x:row r="9">
      <x:c r="A9" s="33" t="n">
        <x:v>5</x:v>
      </x:c>
      <x:c r="B9" s="26" t="n">
        <x:v>1</x:v>
      </x:c>
      <x:c r="C9" s="26" t="n">
        <x:v>5</x:v>
      </x:c>
      <x:c r="D9" s="26" t="str">
        <x:v>Omarion Hampton</x:v>
      </x:c>
      <x:c r="E9" s="26" t="str">
        <x:v>LAC</x:v>
      </x:c>
      <x:c r="F9" s="26" t="str">
        <x:v>RB</x:v>
      </x:c>
      <x:c r="G9" s="28" t="n">
        <x:v>261.3</x:v>
      </x:c>
      <x:c r="H9" s="28" t="n">
        <x:v>136.8</x:v>
      </x:c>
      <x:c r="I9" s="28" t="n">
        <x:v>0</x:v>
      </x:c>
      <x:c r="J9" s="28" t="n">
        <x:v>136.8</x:v>
      </x:c>
      <x:c r="K9" s="27"/>
      <x:c r="L9" s="31" t="str">
        <x:v>ADP NOT LOADED</x:v>
      </x:c>
      <x:c r="M9" s="26" t="str">
        <x:v>Projection-only v1.0</x:v>
      </x:c>
    </x:row>
    <x:row r="10">
      <x:c r="A10" s="33" t="n">
        <x:v>6</x:v>
      </x:c>
      <x:c r="B10" s="26" t="n">
        <x:v>1</x:v>
      </x:c>
      <x:c r="C10" s="26" t="n">
        <x:v>6</x:v>
      </x:c>
      <x:c r="D10" s="26" t="str">
        <x:v>De'Von Achane</x:v>
      </x:c>
      <x:c r="E10" s="26" t="str">
        <x:v>MIA</x:v>
      </x:c>
      <x:c r="F10" s="26" t="str">
        <x:v>RB</x:v>
      </x:c>
      <x:c r="G10" s="28" t="n">
        <x:v>256.1</x:v>
      </x:c>
      <x:c r="H10" s="28" t="n">
        <x:v>131.60000000000002</x:v>
      </x:c>
      <x:c r="I10" s="28" t="n">
        <x:v>0</x:v>
      </x:c>
      <x:c r="J10" s="28" t="n">
        <x:v>131.60000000000002</x:v>
      </x:c>
      <x:c r="K10" s="27"/>
      <x:c r="L10" s="31" t="str">
        <x:v>ADP NOT LOADED</x:v>
      </x:c>
      <x:c r="M10" s="26" t="str">
        <x:v>Projection-only v1.0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Chase Brown</x:v>
      </x:c>
      <x:c r="E11" s="26" t="str">
        <x:v>CIN</x:v>
      </x:c>
      <x:c r="F11" s="26" t="str">
        <x:v>RB</x:v>
      </x:c>
      <x:c r="G11" s="28" t="n">
        <x:v>247.4</x:v>
      </x:c>
      <x:c r="H11" s="28" t="n">
        <x:v>122.9</x:v>
      </x:c>
      <x:c r="I11" s="28" t="n">
        <x:v>0</x:v>
      </x:c>
      <x:c r="J11" s="28" t="n">
        <x:v>122.9</x:v>
      </x:c>
      <x:c r="K11" s="27"/>
      <x:c r="L11" s="31" t="str">
        <x:v>ADP NOT LOADED</x:v>
      </x:c>
      <x:c r="M11" s="26" t="str">
        <x:v>Projection-only v1.0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Ashton Jeanty</x:v>
      </x:c>
      <x:c r="E12" s="26" t="str">
        <x:v>LV</x:v>
      </x:c>
      <x:c r="F12" s="26" t="str">
        <x:v>RB</x:v>
      </x:c>
      <x:c r="G12" s="28" t="n">
        <x:v>246</x:v>
      </x:c>
      <x:c r="H12" s="28" t="n">
        <x:v>121.5</x:v>
      </x:c>
      <x:c r="I12" s="28" t="n">
        <x:v>0</x:v>
      </x:c>
      <x:c r="J12" s="28" t="n">
        <x:v>121.5</x:v>
      </x:c>
      <x:c r="K12" s="27"/>
      <x:c r="L12" s="31" t="str">
        <x:v>ADP NOT LOADED</x:v>
      </x:c>
      <x:c r="M12" s="26" t="str">
        <x:v>Projection-only v1.0</x:v>
      </x:c>
    </x:row>
    <x:row r="13">
      <x:c r="A13" s="26" t="n">
        <x:v>9</x:v>
      </x:c>
      <x:c r="B13" s="26" t="n">
        <x:v>2</x:v>
      </x:c>
      <x:c r="C13" s="26" t="n">
        <x:v>9</x:v>
      </x:c>
      <x:c r="D13" s="26" t="str">
        <x:v>James Cook III</x:v>
      </x:c>
      <x:c r="E13" s="26" t="str">
        <x:v>BUF</x:v>
      </x:c>
      <x:c r="F13" s="26" t="str">
        <x:v>RB</x:v>
      </x:c>
      <x:c r="G13" s="28" t="n">
        <x:v>255.2</x:v>
      </x:c>
      <x:c r="H13" s="28" t="n">
        <x:v>130.7</x:v>
      </x:c>
      <x:c r="I13" s="28" t="n">
        <x:v>0</x:v>
      </x:c>
      <x:c r="J13" s="28" t="n">
        <x:v>130.7</x:v>
      </x:c>
      <x:c r="K13" s="27"/>
      <x:c r="L13" s="31" t="str">
        <x:v>ADP NOT LOADED</x:v>
      </x:c>
      <x:c r="M13" s="26" t="str">
        <x:v>Projection-only v1.0</x:v>
      </x:c>
    </x:row>
    <x:row r="14">
      <x:c r="A14" s="26" t="n">
        <x:v>10</x:v>
      </x:c>
      <x:c r="B14" s="26" t="n">
        <x:v>2</x:v>
      </x:c>
      <x:c r="C14" s="26" t="n">
        <x:v>10</x:v>
      </x:c>
      <x:c r="D14" s="26" t="str">
        <x:v>Kenneth Walker III</x:v>
      </x:c>
      <x:c r="E14" s="26" t="str">
        <x:v>KC</x:v>
      </x:c>
      <x:c r="F14" s="26" t="str">
        <x:v>RB</x:v>
      </x:c>
      <x:c r="G14" s="28" t="n">
        <x:v>247.9</x:v>
      </x:c>
      <x:c r="H14" s="28" t="n">
        <x:v>123.4</x:v>
      </x:c>
      <x:c r="I14" s="28" t="n">
        <x:v>0</x:v>
      </x:c>
      <x:c r="J14" s="28" t="n">
        <x:v>123.4</x:v>
      </x:c>
      <x:c r="K14" s="27"/>
      <x:c r="L14" s="31" t="str">
        <x:v>ADP NOT LOADED</x:v>
      </x:c>
      <x:c r="M14" s="26" t="str">
        <x:v>Projection-only v1.0</x:v>
      </x:c>
    </x:row>
    <x:row r="15">
      <x:c r="A15" s="26" t="n">
        <x:v>11</x:v>
      </x:c>
      <x:c r="B15" s="26" t="n">
        <x:v>2</x:v>
      </x:c>
      <x:c r="C15" s="26" t="n">
        <x:v>11</x:v>
      </x:c>
      <x:c r="D15" s="26" t="str">
        <x:v>Derrick Henry</x:v>
      </x:c>
      <x:c r="E15" s="26" t="str">
        <x:v>BAL</x:v>
      </x:c>
      <x:c r="F15" s="26" t="str">
        <x:v>RB</x:v>
      </x:c>
      <x:c r="G15" s="28" t="n">
        <x:v>256.7</x:v>
      </x:c>
      <x:c r="H15" s="28" t="n">
        <x:v>132.2</x:v>
      </x:c>
      <x:c r="I15" s="28" t="n">
        <x:v>0</x:v>
      </x:c>
      <x:c r="J15" s="28" t="n">
        <x:v>132.2</x:v>
      </x:c>
      <x:c r="K15" s="27"/>
      <x:c r="L15" s="31" t="str">
        <x:v>ADP NOT LOADED</x:v>
      </x:c>
      <x:c r="M15" s="26" t="str">
        <x:v>Projection-only v1.0</x:v>
      </x:c>
    </x:row>
    <x:row r="16">
      <x:c r="A16" s="26" t="n">
        <x:v>12</x:v>
      </x:c>
      <x:c r="B16" s="26" t="n">
        <x:v>2</x:v>
      </x:c>
      <x:c r="C16" s="26" t="n">
        <x:v>12</x:v>
      </x:c>
      <x:c r="D16" s="26" t="str">
        <x:v>Saquon Barkley</x:v>
      </x:c>
      <x:c r="E16" s="26" t="str">
        <x:v>PHI</x:v>
      </x:c>
      <x:c r="F16" s="26" t="str">
        <x:v>RB</x:v>
      </x:c>
      <x:c r="G16" s="28" t="n">
        <x:v>243</x:v>
      </x:c>
      <x:c r="H16" s="28" t="n">
        <x:v>118.5</x:v>
      </x:c>
      <x:c r="I16" s="28" t="n">
        <x:v>0</x:v>
      </x:c>
      <x:c r="J16" s="28" t="n">
        <x:v>118.5</x:v>
      </x:c>
      <x:c r="K16" s="27"/>
      <x:c r="L16" s="31" t="str">
        <x:v>ADP NOT LOADED</x:v>
      </x:c>
      <x:c r="M16" s="26" t="str">
        <x:v>Projection-only v1.0</x:v>
      </x:c>
    </x:row>
    <x:row r="17">
      <x:c r="A17" s="26" t="n">
        <x:v>13</x:v>
      </x:c>
      <x:c r="B17" s="26" t="n">
        <x:v>2</x:v>
      </x:c>
      <x:c r="C17" s="26" t="n">
        <x:v>13</x:v>
      </x:c>
      <x:c r="D17" s="26" t="str">
        <x:v>Josh Jacobs</x:v>
      </x:c>
      <x:c r="E17" s="26" t="str">
        <x:v>GB</x:v>
      </x:c>
      <x:c r="F17" s="26" t="str">
        <x:v>RB</x:v>
      </x:c>
      <x:c r="G17" s="28" t="n">
        <x:v>234.9</x:v>
      </x:c>
      <x:c r="H17" s="28" t="n">
        <x:v>110.4</x:v>
      </x:c>
      <x:c r="I17" s="28" t="n">
        <x:v>0</x:v>
      </x:c>
      <x:c r="J17" s="28" t="n">
        <x:v>110.4</x:v>
      </x:c>
      <x:c r="K17" s="27"/>
      <x:c r="L17" s="31" t="str">
        <x:v>ADP NOT LOADED</x:v>
      </x:c>
      <x:c r="M17" s="26" t="str">
        <x:v>Projection-only v1.0</x:v>
      </x:c>
    </x:row>
    <x:row r="18">
      <x:c r="A18" s="26" t="n">
        <x:v>14</x:v>
      </x:c>
      <x:c r="B18" s="26" t="n">
        <x:v>2</x:v>
      </x:c>
      <x:c r="C18" s="26" t="n">
        <x:v>14</x:v>
      </x:c>
      <x:c r="D18" s="26" t="str">
        <x:v>Javonte Williams</x:v>
      </x:c>
      <x:c r="E18" s="26" t="str">
        <x:v>DAL</x:v>
      </x:c>
      <x:c r="F18" s="26" t="str">
        <x:v>RB</x:v>
      </x:c>
      <x:c r="G18" s="28" t="n">
        <x:v>229.5</x:v>
      </x:c>
      <x:c r="H18" s="28" t="n">
        <x:v>105</x:v>
      </x:c>
      <x:c r="I18" s="28" t="n">
        <x:v>0</x:v>
      </x:c>
      <x:c r="J18" s="28" t="n">
        <x:v>105</x:v>
      </x:c>
      <x:c r="K18" s="27"/>
      <x:c r="L18" s="31" t="str">
        <x:v>ADP NOT LOADED</x:v>
      </x:c>
      <x:c r="M18" s="26" t="str">
        <x:v>Projection-only v1.0</x:v>
      </x:c>
    </x:row>
    <x:row r="19">
      <x:c r="A19" s="26" t="n">
        <x:v>15</x:v>
      </x:c>
      <x:c r="B19" s="26" t="n">
        <x:v>2</x:v>
      </x:c>
      <x:c r="C19" s="26" t="n">
        <x:v>15</x:v>
      </x:c>
      <x:c r="D19" s="26" t="str">
        <x:v>Kyren Williams</x:v>
      </x:c>
      <x:c r="E19" s="26" t="str">
        <x:v>LAR</x:v>
      </x:c>
      <x:c r="F19" s="26" t="str">
        <x:v>RB</x:v>
      </x:c>
      <x:c r="G19" s="28" t="n">
        <x:v>226.2</x:v>
      </x:c>
      <x:c r="H19" s="28" t="n">
        <x:v>101.69999999999999</x:v>
      </x:c>
      <x:c r="I19" s="28" t="n">
        <x:v>0</x:v>
      </x:c>
      <x:c r="J19" s="28" t="n">
        <x:v>101.69999999999999</x:v>
      </x:c>
      <x:c r="K19" s="27"/>
      <x:c r="L19" s="31" t="str">
        <x:v>ADP NOT LOADED</x:v>
      </x:c>
      <x:c r="M19" s="26" t="str">
        <x:v>Projection-only v1.0</x:v>
      </x:c>
    </x:row>
    <x:row r="20">
      <x:c r="A20" s="26" t="n">
        <x:v>16</x:v>
      </x:c>
      <x:c r="B20" s="26" t="n">
        <x:v>2</x:v>
      </x:c>
      <x:c r="C20" s="26" t="n">
        <x:v>16</x:v>
      </x:c>
      <x:c r="D20" s="26" t="str">
        <x:v>Breece Hall</x:v>
      </x:c>
      <x:c r="E20" s="26" t="str">
        <x:v>NYJ</x:v>
      </x:c>
      <x:c r="F20" s="26" t="str">
        <x:v>RB</x:v>
      </x:c>
      <x:c r="G20" s="28" t="n">
        <x:v>215.7</x:v>
      </x:c>
      <x:c r="H20" s="28" t="n">
        <x:v>91.19999999999999</x:v>
      </x:c>
      <x:c r="I20" s="28" t="n">
        <x:v>0</x:v>
      </x:c>
      <x:c r="J20" s="28" t="n">
        <x:v>91.19999999999999</x:v>
      </x:c>
      <x:c r="K20" s="27"/>
      <x:c r="L20" s="31" t="str">
        <x:v>ADP NOT LOADED</x:v>
      </x:c>
      <x:c r="M20" s="26" t="str">
        <x:v>Projection-only v1.0</x:v>
      </x:c>
    </x:row>
    <x:row r="21">
      <x:c r="A21" s="26" t="n">
        <x:v>17</x:v>
      </x:c>
      <x:c r="B21" s="26" t="n">
        <x:v>2</x:v>
      </x:c>
      <x:c r="C21" s="26" t="n">
        <x:v>17</x:v>
      </x:c>
      <x:c r="D21" s="26" t="str">
        <x:v>D'Andre Swift</x:v>
      </x:c>
      <x:c r="E21" s="26" t="str">
        <x:v>CHI</x:v>
      </x:c>
      <x:c r="F21" s="26" t="str">
        <x:v>RB</x:v>
      </x:c>
      <x:c r="G21" s="28" t="n">
        <x:v>205.6</x:v>
      </x:c>
      <x:c r="H21" s="28" t="n">
        <x:v>81.1</x:v>
      </x:c>
      <x:c r="I21" s="28" t="n">
        <x:v>0</x:v>
      </x:c>
      <x:c r="J21" s="28" t="n">
        <x:v>81.1</x:v>
      </x:c>
      <x:c r="K21" s="27"/>
      <x:c r="L21" s="31" t="str">
        <x:v>ADP NOT LOADED</x:v>
      </x:c>
      <x:c r="M21" s="26" t="str">
        <x:v>Projection-only v1.0</x:v>
      </x:c>
    </x:row>
    <x:row r="22">
      <x:c r="A22" s="26" t="n">
        <x:v>18</x:v>
      </x:c>
      <x:c r="B22" s="26" t="n">
        <x:v>2</x:v>
      </x:c>
      <x:c r="C22" s="26" t="n">
        <x:v>18</x:v>
      </x:c>
      <x:c r="D22" s="26" t="str">
        <x:v>Jeremiyah Love</x:v>
      </x:c>
      <x:c r="E22" s="26" t="str">
        <x:v>ARI</x:v>
      </x:c>
      <x:c r="F22" s="26" t="str">
        <x:v>RB</x:v>
      </x:c>
      <x:c r="G22" s="28" t="n">
        <x:v>201.4</x:v>
      </x:c>
      <x:c r="H22" s="28" t="n">
        <x:v>76.9</x:v>
      </x:c>
      <x:c r="I22" s="28" t="n">
        <x:v>0</x:v>
      </x:c>
      <x:c r="J22" s="28" t="n">
        <x:v>76.9</x:v>
      </x:c>
      <x:c r="K22" s="27"/>
      <x:c r="L22" s="31" t="str">
        <x:v>ADP NOT LOADED</x:v>
      </x:c>
      <x:c r="M22" s="26" t="str">
        <x:v>Projection-only v1.0</x:v>
      </x:c>
    </x:row>
    <x:row r="23">
      <x:c r="A23" s="26" t="n">
        <x:v>19</x:v>
      </x:c>
      <x:c r="B23" s="26" t="n">
        <x:v>3</x:v>
      </x:c>
      <x:c r="C23" s="26" t="n">
        <x:v>19</x:v>
      </x:c>
      <x:c r="D23" s="26" t="str">
        <x:v>Bucky Irving</x:v>
      </x:c>
      <x:c r="E23" s="26" t="str">
        <x:v>TB</x:v>
      </x:c>
      <x:c r="F23" s="26" t="str">
        <x:v>RB</x:v>
      </x:c>
      <x:c r="G23" s="28" t="n">
        <x:v>190.9</x:v>
      </x:c>
      <x:c r="H23" s="28" t="n">
        <x:v>66.4</x:v>
      </x:c>
      <x:c r="I23" s="28" t="n">
        <x:v>0</x:v>
      </x:c>
      <x:c r="J23" s="28" t="n">
        <x:v>66.4</x:v>
      </x:c>
      <x:c r="K23" s="27"/>
      <x:c r="L23" s="31" t="str">
        <x:v>ADP NOT LOADED</x:v>
      </x:c>
      <x:c r="M23" s="26" t="str">
        <x:v>Projection-only v1.0</x:v>
      </x:c>
    </x:row>
    <x:row r="24">
      <x:c r="A24" s="26" t="n">
        <x:v>20</x:v>
      </x:c>
      <x:c r="B24" s="26" t="n">
        <x:v>3</x:v>
      </x:c>
      <x:c r="C24" s="26" t="n">
        <x:v>20</x:v>
      </x:c>
      <x:c r="D24" s="26" t="str">
        <x:v>TreVeyon Henderson</x:v>
      </x:c>
      <x:c r="E24" s="26" t="str">
        <x:v>NE</x:v>
      </x:c>
      <x:c r="F24" s="26" t="str">
        <x:v>RB</x:v>
      </x:c>
      <x:c r="G24" s="28" t="n">
        <x:v>186.2</x:v>
      </x:c>
      <x:c r="H24" s="28" t="n">
        <x:v>61.69999999999999</x:v>
      </x:c>
      <x:c r="I24" s="28" t="n">
        <x:v>0</x:v>
      </x:c>
      <x:c r="J24" s="28" t="n">
        <x:v>61.69999999999999</x:v>
      </x:c>
      <x:c r="K24" s="27"/>
      <x:c r="L24" s="31" t="str">
        <x:v>ADP NOT LOADED</x:v>
      </x:c>
      <x:c r="M24" s="26" t="str">
        <x:v>Projection-only v1.0</x:v>
      </x:c>
    </x:row>
    <x:row r="25">
      <x:c r="A25" s="26" t="n">
        <x:v>21</x:v>
      </x:c>
      <x:c r="B25" s="26" t="n">
        <x:v>3</x:v>
      </x:c>
      <x:c r="C25" s="26" t="n">
        <x:v>21</x:v>
      </x:c>
      <x:c r="D25" s="26" t="str">
        <x:v>David Montgomery</x:v>
      </x:c>
      <x:c r="E25" s="26" t="str">
        <x:v>HOU</x:v>
      </x:c>
      <x:c r="F25" s="26" t="str">
        <x:v>RB</x:v>
      </x:c>
      <x:c r="G25" s="28" t="n">
        <x:v>191.4</x:v>
      </x:c>
      <x:c r="H25" s="28" t="n">
        <x:v>66.9</x:v>
      </x:c>
      <x:c r="I25" s="28" t="n">
        <x:v>0</x:v>
      </x:c>
      <x:c r="J25" s="28" t="n">
        <x:v>66.9</x:v>
      </x:c>
      <x:c r="K25" s="27"/>
      <x:c r="L25" s="31" t="str">
        <x:v>ADP NOT LOADED</x:v>
      </x:c>
      <x:c r="M25" s="26" t="str">
        <x:v>Projection-only v1.0</x:v>
      </x:c>
    </x:row>
    <x:row r="26">
      <x:c r="A26" s="26" t="n">
        <x:v>22</x:v>
      </x:c>
      <x:c r="B26" s="26" t="n">
        <x:v>3</x:v>
      </x:c>
      <x:c r="C26" s="26" t="n">
        <x:v>22</x:v>
      </x:c>
      <x:c r="D26" s="26" t="str">
        <x:v>Travis Etienne Jr.</x:v>
      </x:c>
      <x:c r="E26" s="26" t="str">
        <x:v>NO</x:v>
      </x:c>
      <x:c r="F26" s="26" t="str">
        <x:v>RB</x:v>
      </x:c>
      <x:c r="G26" s="28" t="n">
        <x:v>183.5</x:v>
      </x:c>
      <x:c r="H26" s="28" t="n">
        <x:v>59</x:v>
      </x:c>
      <x:c r="I26" s="28" t="n">
        <x:v>0</x:v>
      </x:c>
      <x:c r="J26" s="28" t="n">
        <x:v>59</x:v>
      </x:c>
      <x:c r="K26" s="27"/>
      <x:c r="L26" s="31" t="str">
        <x:v>ADP NOT LOADED</x:v>
      </x:c>
      <x:c r="M26" s="26" t="str">
        <x:v>Projection-only v1.0</x:v>
      </x:c>
    </x:row>
    <x:row r="27">
      <x:c r="A27" s="26" t="n">
        <x:v>23</x:v>
      </x:c>
      <x:c r="B27" s="26" t="n">
        <x:v>3</x:v>
      </x:c>
      <x:c r="C27" s="26" t="n">
        <x:v>23</x:v>
      </x:c>
      <x:c r="D27" s="26" t="str">
        <x:v>Quinshon Judkins</x:v>
      </x:c>
      <x:c r="E27" s="26" t="str">
        <x:v>CLE</x:v>
      </x:c>
      <x:c r="F27" s="26" t="str">
        <x:v>RB</x:v>
      </x:c>
      <x:c r="G27" s="28" t="n">
        <x:v>184</x:v>
      </x:c>
      <x:c r="H27" s="28" t="n">
        <x:v>59.5</x:v>
      </x:c>
      <x:c r="I27" s="28" t="n">
        <x:v>0</x:v>
      </x:c>
      <x:c r="J27" s="28" t="n">
        <x:v>59.5</x:v>
      </x:c>
      <x:c r="K27" s="27"/>
      <x:c r="L27" s="31" t="str">
        <x:v>ADP NOT LOADED</x:v>
      </x:c>
      <x:c r="M27" s="26" t="str">
        <x:v>Projection-only v1.0</x:v>
      </x:c>
    </x:row>
    <x:row r="28">
      <x:c r="A28" s="26" t="n">
        <x:v>24</x:v>
      </x:c>
      <x:c r="B28" s="26" t="n">
        <x:v>3</x:v>
      </x:c>
      <x:c r="C28" s="26" t="n">
        <x:v>24</x:v>
      </x:c>
      <x:c r="D28" s="26" t="str">
        <x:v>Jaylen Warren</x:v>
      </x:c>
      <x:c r="E28" s="26" t="str">
        <x:v>PIT</x:v>
      </x:c>
      <x:c r="F28" s="26" t="str">
        <x:v>RB</x:v>
      </x:c>
      <x:c r="G28" s="28" t="n">
        <x:v>171.5</x:v>
      </x:c>
      <x:c r="H28" s="28" t="n">
        <x:v>47</x:v>
      </x:c>
      <x:c r="I28" s="28" t="n">
        <x:v>0</x:v>
      </x:c>
      <x:c r="J28" s="28" t="n">
        <x:v>47</x:v>
      </x:c>
      <x:c r="K28" s="27"/>
      <x:c r="L28" s="31" t="str">
        <x:v>ADP NOT LOADED</x:v>
      </x:c>
      <x:c r="M28" s="26" t="str">
        <x:v>Projection-only v1.0</x:v>
      </x:c>
    </x:row>
    <x:row r="29">
      <x:c r="A29" s="26" t="n">
        <x:v>25</x:v>
      </x:c>
      <x:c r="B29" s="26" t="n">
        <x:v>3</x:v>
      </x:c>
      <x:c r="C29" s="26" t="n">
        <x:v>25</x:v>
      </x:c>
      <x:c r="D29" s="26" t="str">
        <x:v>Bhayshul Tuten</x:v>
      </x:c>
      <x:c r="E29" s="26" t="str">
        <x:v>JAX</x:v>
      </x:c>
      <x:c r="F29" s="26" t="str">
        <x:v>RB</x:v>
      </x:c>
      <x:c r="G29" s="28" t="n">
        <x:v>172.2</x:v>
      </x:c>
      <x:c r="H29" s="28" t="n">
        <x:v>47.69999999999999</x:v>
      </x:c>
      <x:c r="I29" s="28" t="n">
        <x:v>0</x:v>
      </x:c>
      <x:c r="J29" s="28" t="n">
        <x:v>47.69999999999999</x:v>
      </x:c>
      <x:c r="K29" s="27"/>
      <x:c r="L29" s="31" t="str">
        <x:v>ADP NOT LOADED</x:v>
      </x:c>
      <x:c r="M29" s="26" t="str">
        <x:v>Projection-only v1.0</x:v>
      </x:c>
    </x:row>
    <x:row r="30">
      <x:c r="A30" s="26" t="n">
        <x:v>26</x:v>
      </x:c>
      <x:c r="B30" s="26" t="n">
        <x:v>3</x:v>
      </x:c>
      <x:c r="C30" s="26" t="n">
        <x:v>26</x:v>
      </x:c>
      <x:c r="D30" s="26" t="str">
        <x:v>Cam Skattebo</x:v>
      </x:c>
      <x:c r="E30" s="26" t="str">
        <x:v>NYG</x:v>
      </x:c>
      <x:c r="F30" s="26" t="str">
        <x:v>RB</x:v>
      </x:c>
      <x:c r="G30" s="28" t="n">
        <x:v>166.2</x:v>
      </x:c>
      <x:c r="H30" s="28" t="n">
        <x:v>41.69999999999999</x:v>
      </x:c>
      <x:c r="I30" s="28" t="n">
        <x:v>0</x:v>
      </x:c>
      <x:c r="J30" s="28" t="n">
        <x:v>41.69999999999999</x:v>
      </x:c>
      <x:c r="K30" s="27"/>
      <x:c r="L30" s="31" t="str">
        <x:v>ADP NOT LOADED</x:v>
      </x:c>
      <x:c r="M30" s="26" t="str">
        <x:v>Projection-only v1.0</x:v>
      </x:c>
    </x:row>
    <x:row r="31">
      <x:c r="A31" s="26" t="n">
        <x:v>27</x:v>
      </x:c>
      <x:c r="B31" s="26" t="n">
        <x:v>3</x:v>
      </x:c>
      <x:c r="C31" s="26" t="n">
        <x:v>27</x:v>
      </x:c>
      <x:c r="D31" s="26" t="str">
        <x:v>Jadarian Price</x:v>
      </x:c>
      <x:c r="E31" s="26" t="str">
        <x:v>SEA</x:v>
      </x:c>
      <x:c r="F31" s="26" t="str">
        <x:v>RB</x:v>
      </x:c>
      <x:c r="G31" s="28" t="n">
        <x:v>158.3</x:v>
      </x:c>
      <x:c r="H31" s="28" t="n">
        <x:v>33.80000000000001</x:v>
      </x:c>
      <x:c r="I31" s="28" t="n">
        <x:v>0</x:v>
      </x:c>
      <x:c r="J31" s="28" t="n">
        <x:v>33.80000000000001</x:v>
      </x:c>
      <x:c r="K31" s="27"/>
      <x:c r="L31" s="31" t="str">
        <x:v>ADP NOT LOADED</x:v>
      </x:c>
      <x:c r="M31" s="26" t="str">
        <x:v>Projection-only v1.0</x:v>
      </x:c>
    </x:row>
    <x:row r="32">
      <x:c r="A32" s="26" t="n">
        <x:v>28</x:v>
      </x:c>
      <x:c r="B32" s="26" t="n">
        <x:v>3</x:v>
      </x:c>
      <x:c r="C32" s="26" t="n">
        <x:v>28</x:v>
      </x:c>
      <x:c r="D32" s="26" t="str">
        <x:v>Jacory Croskey-Merritt</x:v>
      </x:c>
      <x:c r="E32" s="26" t="str">
        <x:v>WAS</x:v>
      </x:c>
      <x:c r="F32" s="26" t="str">
        <x:v>RB</x:v>
      </x:c>
      <x:c r="G32" s="28" t="n">
        <x:v>154.4</x:v>
      </x:c>
      <x:c r="H32" s="28" t="n">
        <x:v>29.900000000000006</x:v>
      </x:c>
      <x:c r="I32" s="28" t="n">
        <x:v>0</x:v>
      </x:c>
      <x:c r="J32" s="28" t="n">
        <x:v>29.900000000000006</x:v>
      </x:c>
      <x:c r="K32" s="27"/>
      <x:c r="L32" s="31" t="str">
        <x:v>ADP NOT LOADED</x:v>
      </x:c>
      <x:c r="M32" s="26" t="str">
        <x:v>Projection-only v1.0</x:v>
      </x:c>
    </x:row>
    <x:row r="33">
      <x:c r="A33" s="26" t="n">
        <x:v>29</x:v>
      </x:c>
      <x:c r="B33" s="26" t="n">
        <x:v>3</x:v>
      </x:c>
      <x:c r="C33" s="26" t="n">
        <x:v>29</x:v>
      </x:c>
      <x:c r="D33" s="26" t="str">
        <x:v>Jordan Mason</x:v>
      </x:c>
      <x:c r="E33" s="26" t="str">
        <x:v>MIN</x:v>
      </x:c>
      <x:c r="F33" s="26" t="str">
        <x:v>RB</x:v>
      </x:c>
      <x:c r="G33" s="28" t="n">
        <x:v>156.7</x:v>
      </x:c>
      <x:c r="H33" s="28" t="n">
        <x:v>32.19999999999999</x:v>
      </x:c>
      <x:c r="I33" s="28" t="n">
        <x:v>0</x:v>
      </x:c>
      <x:c r="J33" s="28" t="n">
        <x:v>32.19999999999999</x:v>
      </x:c>
      <x:c r="K33" s="27"/>
      <x:c r="L33" s="31" t="str">
        <x:v>ADP NOT LOADED</x:v>
      </x:c>
      <x:c r="M33" s="26" t="str">
        <x:v>Projection-only v1.0</x:v>
      </x:c>
    </x:row>
    <x:row r="34">
      <x:c r="A34" s="26" t="n">
        <x:v>30</x:v>
      </x:c>
      <x:c r="B34" s="26" t="n">
        <x:v>3</x:v>
      </x:c>
      <x:c r="C34" s="26" t="n">
        <x:v>30</x:v>
      </x:c>
      <x:c r="D34" s="26" t="str">
        <x:v>Tony Pollard</x:v>
      </x:c>
      <x:c r="E34" s="26" t="str">
        <x:v>TEN</x:v>
      </x:c>
      <x:c r="F34" s="26" t="str">
        <x:v>RB</x:v>
      </x:c>
      <x:c r="G34" s="28" t="n">
        <x:v>146.9</x:v>
      </x:c>
      <x:c r="H34" s="28" t="n">
        <x:v>22.400000000000006</x:v>
      </x:c>
      <x:c r="I34" s="28" t="n">
        <x:v>0</x:v>
      </x:c>
      <x:c r="J34" s="28" t="n">
        <x:v>22.400000000000006</x:v>
      </x:c>
      <x:c r="K34" s="27"/>
      <x:c r="L34" s="31" t="str">
        <x:v>ADP NOT LOADED</x:v>
      </x:c>
      <x:c r="M34" s="26" t="str">
        <x:v>Projection-only v1.0</x:v>
      </x:c>
    </x:row>
    <x:row r="35">
      <x:c r="A35" s="26" t="n">
        <x:v>31</x:v>
      </x:c>
      <x:c r="B35" s="26" t="n">
        <x:v>3</x:v>
      </x:c>
      <x:c r="C35" s="26" t="n">
        <x:v>31</x:v>
      </x:c>
      <x:c r="D35" s="26" t="str">
        <x:v>Rico Dowdle</x:v>
      </x:c>
      <x:c r="E35" s="26" t="str">
        <x:v>PIT</x:v>
      </x:c>
      <x:c r="F35" s="26" t="str">
        <x:v>RB</x:v>
      </x:c>
      <x:c r="G35" s="28" t="n">
        <x:v>142</x:v>
      </x:c>
      <x:c r="H35" s="28" t="n">
        <x:v>17.5</x:v>
      </x:c>
      <x:c r="I35" s="28" t="n">
        <x:v>0</x:v>
      </x:c>
      <x:c r="J35" s="28" t="n">
        <x:v>17.5</x:v>
      </x:c>
      <x:c r="K35" s="27"/>
      <x:c r="L35" s="31" t="str">
        <x:v>ADP NOT LOADED</x:v>
      </x:c>
      <x:c r="M35" s="26" t="str">
        <x:v>Projection-only v1.0</x:v>
      </x:c>
    </x:row>
    <x:row r="36">
      <x:c r="A36" s="26" t="n">
        <x:v>32</x:v>
      </x:c>
      <x:c r="B36" s="26" t="n">
        <x:v>3</x:v>
      </x:c>
      <x:c r="C36" s="26" t="n">
        <x:v>32</x:v>
      </x:c>
      <x:c r="D36" s="26" t="str">
        <x:v>Rhamondre Stevenson</x:v>
      </x:c>
      <x:c r="E36" s="26" t="str">
        <x:v>NE</x:v>
      </x:c>
      <x:c r="F36" s="26" t="str">
        <x:v>RB</x:v>
      </x:c>
      <x:c r="G36" s="28" t="n">
        <x:v>137.3</x:v>
      </x:c>
      <x:c r="H36" s="28" t="n">
        <x:v>12.800000000000011</x:v>
      </x:c>
      <x:c r="I36" s="28" t="n">
        <x:v>0</x:v>
      </x:c>
      <x:c r="J36" s="28" t="n">
        <x:v>12.800000000000011</x:v>
      </x:c>
      <x:c r="K36" s="27"/>
      <x:c r="L36" s="31" t="str">
        <x:v>ADP NOT LOADED</x:v>
      </x:c>
      <x:c r="M36" s="26" t="str">
        <x:v>Projection-only v1.0</x:v>
      </x:c>
    </x:row>
    <x:row r="37">
      <x:c r="A37" s="26" t="n">
        <x:v>33</x:v>
      </x:c>
      <x:c r="B37" s="26" t="n">
        <x:v>3</x:v>
      </x:c>
      <x:c r="C37" s="26" t="n">
        <x:v>33</x:v>
      </x:c>
      <x:c r="D37" s="26" t="str">
        <x:v>Kenny Gainwell</x:v>
      </x:c>
      <x:c r="E37" s="26" t="str">
        <x:v>TB</x:v>
      </x:c>
      <x:c r="F37" s="26" t="str">
        <x:v>RB</x:v>
      </x:c>
      <x:c r="G37" s="28" t="n">
        <x:v>130.4</x:v>
      </x:c>
      <x:c r="H37" s="28" t="n">
        <x:v>5.900000000000006</x:v>
      </x:c>
      <x:c r="I37" s="28" t="n">
        <x:v>0</x:v>
      </x:c>
      <x:c r="J37" s="28" t="n">
        <x:v>5.900000000000006</x:v>
      </x:c>
      <x:c r="K37" s="27"/>
      <x:c r="L37" s="31" t="str">
        <x:v>ADP NOT LOADED</x:v>
      </x:c>
      <x:c r="M37" s="26" t="str">
        <x:v>Projection-only v1.0</x:v>
      </x:c>
    </x:row>
    <x:row r="38">
      <x:c r="A38" s="26" t="n">
        <x:v>34</x:v>
      </x:c>
      <x:c r="B38" s="26" t="n">
        <x:v>3</x:v>
      </x:c>
      <x:c r="C38" s="26" t="n">
        <x:v>34</x:v>
      </x:c>
      <x:c r="D38" s="26" t="str">
        <x:v>Kyle Monangai</x:v>
      </x:c>
      <x:c r="E38" s="26" t="str">
        <x:v>CHI</x:v>
      </x:c>
      <x:c r="F38" s="26" t="str">
        <x:v>RB</x:v>
      </x:c>
      <x:c r="G38" s="28" t="n">
        <x:v>135.9</x:v>
      </x:c>
      <x:c r="H38" s="28" t="n">
        <x:v>11.400000000000006</x:v>
      </x:c>
      <x:c r="I38" s="28" t="n">
        <x:v>0</x:v>
      </x:c>
      <x:c r="J38" s="28" t="n">
        <x:v>11.400000000000006</x:v>
      </x:c>
      <x:c r="K38" s="27"/>
      <x:c r="L38" s="31" t="str">
        <x:v>ADP NOT LOADED</x:v>
      </x:c>
      <x:c r="M38" s="26" t="str">
        <x:v>Projection-only v1.0</x:v>
      </x:c>
    </x:row>
    <x:row r="39">
      <x:c r="A39" s="26" t="n">
        <x:v>35</x:v>
      </x:c>
      <x:c r="B39" s="26" t="n">
        <x:v>3</x:v>
      </x:c>
      <x:c r="C39" s="26" t="n">
        <x:v>35</x:v>
      </x:c>
      <x:c r="D39" s="26" t="str">
        <x:v>Chuba Hubbard</x:v>
      </x:c>
      <x:c r="E39" s="26" t="str">
        <x:v>CAR</x:v>
      </x:c>
      <x:c r="F39" s="26" t="str">
        <x:v>RB</x:v>
      </x:c>
      <x:c r="G39" s="28" t="n">
        <x:v>131.4</x:v>
      </x:c>
      <x:c r="H39" s="28" t="n">
        <x:v>6.900000000000006</x:v>
      </x:c>
      <x:c r="I39" s="28" t="n">
        <x:v>0</x:v>
      </x:c>
      <x:c r="J39" s="28" t="n">
        <x:v>6.900000000000006</x:v>
      </x:c>
      <x:c r="K39" s="27"/>
      <x:c r="L39" s="31" t="str">
        <x:v>ADP NOT LOADED</x:v>
      </x:c>
      <x:c r="M39" s="26" t="str">
        <x:v>Projection-only v1.0</x:v>
      </x:c>
    </x:row>
    <x:row r="40">
      <x:c r="A40" s="26" t="n">
        <x:v>36</x:v>
      </x:c>
      <x:c r="B40" s="26" t="n">
        <x:v>3</x:v>
      </x:c>
      <x:c r="C40" s="26" t="n">
        <x:v>36</x:v>
      </x:c>
      <x:c r="D40" s="26" t="str">
        <x:v>Jonathon Brooks</x:v>
      </x:c>
      <x:c r="E40" s="26" t="str">
        <x:v>CAR</x:v>
      </x:c>
      <x:c r="F40" s="26" t="str">
        <x:v>RB</x:v>
      </x:c>
      <x:c r="G40" s="28" t="n">
        <x:v>129.2</x:v>
      </x:c>
      <x:c r="H40" s="28" t="n">
        <x:v>4.699999999999989</x:v>
      </x:c>
      <x:c r="I40" s="28" t="n">
        <x:v>0</x:v>
      </x:c>
      <x:c r="J40" s="28" t="n">
        <x:v>4.699999999999989</x:v>
      </x:c>
      <x:c r="K40" s="27"/>
      <x:c r="L40" s="31" t="str">
        <x:v>ADP NOT LOADED</x:v>
      </x:c>
      <x:c r="M40" s="26" t="str">
        <x:v>Projection-only v1.0</x:v>
      </x:c>
    </x:row>
    <x:row r="41">
      <x:c r="A41" s="26" t="n">
        <x:v>37</x:v>
      </x:c>
      <x:c r="B41" s="26" t="n">
        <x:v>4</x:v>
      </x:c>
      <x:c r="C41" s="26" t="n">
        <x:v>37</x:v>
      </x:c>
      <x:c r="D41" s="26" t="str">
        <x:v>Aaron Jones Sr.</x:v>
      </x:c>
      <x:c r="E41" s="26" t="str">
        <x:v>MIN</x:v>
      </x:c>
      <x:c r="F41" s="26" t="str">
        <x:v>RB</x:v>
      </x:c>
      <x:c r="G41" s="28" t="n">
        <x:v>124.5</x:v>
      </x:c>
      <x:c r="H41" s="28" t="n">
        <x:v>0</x:v>
      </x:c>
      <x:c r="I41" s="28" t="n">
        <x:v>0</x:v>
      </x:c>
      <x:c r="J41" s="28" t="n">
        <x:v>0</x:v>
      </x:c>
      <x:c r="K41" s="27"/>
      <x:c r="L41" s="31" t="str">
        <x:v>ADP NOT LOADED</x:v>
      </x:c>
      <x:c r="M41" s="26" t="str">
        <x:v>Projection-only v1.0</x:v>
      </x:c>
    </x:row>
    <x:row r="42">
      <x:c r="A42" s="26" t="n">
        <x:v>38</x:v>
      </x:c>
      <x:c r="B42" s="26" t="n">
        <x:v>4</x:v>
      </x:c>
      <x:c r="C42" s="26" t="n">
        <x:v>38</x:v>
      </x:c>
      <x:c r="D42" s="26" t="str">
        <x:v>RJ Harvey</x:v>
      </x:c>
      <x:c r="E42" s="26" t="str">
        <x:v>DEN</x:v>
      </x:c>
      <x:c r="F42" s="26" t="str">
        <x:v>RB</x:v>
      </x:c>
      <x:c r="G42" s="28" t="n">
        <x:v>118.7</x:v>
      </x:c>
      <x:c r="H42" s="28" t="n">
        <x:v>-5.799999999999997</x:v>
      </x:c>
      <x:c r="I42" s="28" t="n">
        <x:v>0</x:v>
      </x:c>
      <x:c r="J42" s="28" t="n">
        <x:v>-5.799999999999997</x:v>
      </x:c>
      <x:c r="K42" s="27"/>
      <x:c r="L42" s="31" t="str">
        <x:v>ADP NOT LOADED</x:v>
      </x:c>
      <x:c r="M42" s="26" t="str">
        <x:v>Projection-only v1.0</x:v>
      </x:c>
    </x:row>
    <x:row r="43">
      <x:c r="A43" s="26" t="n">
        <x:v>39</x:v>
      </x:c>
      <x:c r="B43" s="26" t="n">
        <x:v>4</x:v>
      </x:c>
      <x:c r="C43" s="26" t="n">
        <x:v>39</x:v>
      </x:c>
      <x:c r="D43" s="26" t="str">
        <x:v>J.K. Dobbins</x:v>
      </x:c>
      <x:c r="E43" s="26" t="str">
        <x:v>DEN</x:v>
      </x:c>
      <x:c r="F43" s="26" t="str">
        <x:v>RB</x:v>
      </x:c>
      <x:c r="G43" s="28" t="n">
        <x:v>127.7</x:v>
      </x:c>
      <x:c r="H43" s="28" t="n">
        <x:v>3.200000000000003</x:v>
      </x:c>
      <x:c r="I43" s="28" t="n">
        <x:v>0</x:v>
      </x:c>
      <x:c r="J43" s="28" t="n">
        <x:v>3.200000000000003</x:v>
      </x:c>
      <x:c r="K43" s="27"/>
      <x:c r="L43" s="31" t="str">
        <x:v>ADP NOT LOADED</x:v>
      </x:c>
      <x:c r="M43" s="26" t="str">
        <x:v>Projection-only v1.0</x:v>
      </x:c>
    </x:row>
    <x:row r="44">
      <x:c r="A44" s="26" t="n">
        <x:v>40</x:v>
      </x:c>
      <x:c r="B44" s="26" t="n">
        <x:v>4</x:v>
      </x:c>
      <x:c r="C44" s="26" t="n">
        <x:v>40</x:v>
      </x:c>
      <x:c r="D44" s="26" t="str">
        <x:v>Blake Corum</x:v>
      </x:c>
      <x:c r="E44" s="26" t="str">
        <x:v>LAR</x:v>
      </x:c>
      <x:c r="F44" s="26" t="str">
        <x:v>RB</x:v>
      </x:c>
      <x:c r="G44" s="28" t="n">
        <x:v>128.1</x:v>
      </x:c>
      <x:c r="H44" s="28" t="n">
        <x:v>3.5999999999999943</x:v>
      </x:c>
      <x:c r="I44" s="28" t="n">
        <x:v>0</x:v>
      </x:c>
      <x:c r="J44" s="28" t="n">
        <x:v>3.5999999999999943</x:v>
      </x:c>
      <x:c r="K44" s="27"/>
      <x:c r="L44" s="31" t="str">
        <x:v>ADP NOT LOADED</x:v>
      </x:c>
      <x:c r="M44" s="26" t="str">
        <x:v>Projection-only v1.0</x:v>
      </x:c>
    </x:row>
    <x:row r="45">
      <x:c r="A45" s="26" t="n">
        <x:v>41</x:v>
      </x:c>
      <x:c r="B45" s="26" t="n">
        <x:v>4</x:v>
      </x:c>
      <x:c r="C45" s="26" t="n">
        <x:v>41</x:v>
      </x:c>
      <x:c r="D45" s="26" t="str">
        <x:v>Tyjae Spears</x:v>
      </x:c>
      <x:c r="E45" s="26" t="str">
        <x:v>TEN</x:v>
      </x:c>
      <x:c r="F45" s="26" t="str">
        <x:v>RB</x:v>
      </x:c>
      <x:c r="G45" s="28" t="n">
        <x:v>105.4</x:v>
      </x:c>
      <x:c r="H45" s="28" t="n">
        <x:v>-19.099999999999994</x:v>
      </x:c>
      <x:c r="I45" s="28" t="n">
        <x:v>0</x:v>
      </x:c>
      <x:c r="J45" s="28" t="n">
        <x:v>-19.099999999999994</x:v>
      </x:c>
      <x:c r="K45" s="27"/>
      <x:c r="L45" s="31" t="str">
        <x:v>ADP NOT LOADED</x:v>
      </x:c>
      <x:c r="M45" s="26" t="str">
        <x:v>Projection-only v1.0</x:v>
      </x:c>
    </x:row>
    <x:row r="46">
      <x:c r="A46" s="26" t="n">
        <x:v>42</x:v>
      </x:c>
      <x:c r="B46" s="26" t="n">
        <x:v>4</x:v>
      </x:c>
      <x:c r="C46" s="26" t="n">
        <x:v>42</x:v>
      </x:c>
      <x:c r="D46" s="26" t="str">
        <x:v>Tyrone Tracy Jr.</x:v>
      </x:c>
      <x:c r="E46" s="26" t="str">
        <x:v>NYG</x:v>
      </x:c>
      <x:c r="F46" s="26" t="str">
        <x:v>RB</x:v>
      </x:c>
      <x:c r="G46" s="28" t="n">
        <x:v>110.2</x:v>
      </x:c>
      <x:c r="H46" s="28" t="n">
        <x:v>-14.299999999999997</x:v>
      </x:c>
      <x:c r="I46" s="28" t="n">
        <x:v>0</x:v>
      </x:c>
      <x:c r="J46" s="28" t="n">
        <x:v>-14.299999999999997</x:v>
      </x:c>
      <x:c r="K46" s="27"/>
      <x:c r="L46" s="31" t="str">
        <x:v>ADP NOT LOADED</x:v>
      </x:c>
      <x:c r="M46" s="26" t="str">
        <x:v>Projection-only v1.0</x:v>
      </x:c>
    </x:row>
    <x:row r="47">
      <x:c r="A47" s="26" t="n">
        <x:v>43</x:v>
      </x:c>
      <x:c r="B47" s="26" t="n">
        <x:v>4</x:v>
      </x:c>
      <x:c r="C47" s="26" t="n">
        <x:v>43</x:v>
      </x:c>
      <x:c r="D47" s="26" t="str">
        <x:v>Rachaad White</x:v>
      </x:c>
      <x:c r="E47" s="26" t="str">
        <x:v>WAS</x:v>
      </x:c>
      <x:c r="F47" s="26" t="str">
        <x:v>RB</x:v>
      </x:c>
      <x:c r="G47" s="28" t="n">
        <x:v>104.6</x:v>
      </x:c>
      <x:c r="H47" s="28" t="n">
        <x:v>-19.900000000000006</x:v>
      </x:c>
      <x:c r="I47" s="28" t="n">
        <x:v>0</x:v>
      </x:c>
      <x:c r="J47" s="28" t="n">
        <x:v>-19.900000000000006</x:v>
      </x:c>
      <x:c r="K47" s="27"/>
      <x:c r="L47" s="31" t="str">
        <x:v>ADP NOT LOADED</x:v>
      </x:c>
      <x:c r="M47" s="26" t="str">
        <x:v>Projection-only v1.0</x:v>
      </x:c>
    </x:row>
    <x:row r="48">
      <x:c r="A48" s="26" t="n">
        <x:v>44</x:v>
      </x:c>
      <x:c r="B48" s="26" t="n">
        <x:v>4</x:v>
      </x:c>
      <x:c r="C48" s="26" t="n">
        <x:v>44</x:v>
      </x:c>
      <x:c r="D48" s="26" t="str">
        <x:v>Chris Rodriguez Jr.</x:v>
      </x:c>
      <x:c r="E48" s="26" t="str">
        <x:v>JAX</x:v>
      </x:c>
      <x:c r="F48" s="26" t="str">
        <x:v>RB</x:v>
      </x:c>
      <x:c r="G48" s="28" t="n">
        <x:v>109.6</x:v>
      </x:c>
      <x:c r="H48" s="28" t="n">
        <x:v>-14.900000000000006</x:v>
      </x:c>
      <x:c r="I48" s="28" t="n">
        <x:v>0</x:v>
      </x:c>
      <x:c r="J48" s="28" t="n">
        <x:v>-14.900000000000006</x:v>
      </x:c>
      <x:c r="K48" s="27"/>
      <x:c r="L48" s="31" t="str">
        <x:v>ADP NOT LOADED</x:v>
      </x:c>
      <x:c r="M48" s="26" t="str">
        <x:v>Projection-only v1.0</x:v>
      </x:c>
    </x:row>
    <x:row r="49">
      <x:c r="A49" s="26" t="n">
        <x:v>45</x:v>
      </x:c>
      <x:c r="B49" s="26" t="n">
        <x:v>4</x:v>
      </x:c>
      <x:c r="C49" s="26" t="n">
        <x:v>45</x:v>
      </x:c>
      <x:c r="D49" s="26" t="str">
        <x:v>Mike Washington Jr.</x:v>
      </x:c>
      <x:c r="E49" s="26" t="str">
        <x:v>LV</x:v>
      </x:c>
      <x:c r="F49" s="26" t="str">
        <x:v>RB</x:v>
      </x:c>
      <x:c r="G49" s="28" t="n">
        <x:v>103.6</x:v>
      </x:c>
      <x:c r="H49" s="28" t="n">
        <x:v>-20.900000000000006</x:v>
      </x:c>
      <x:c r="I49" s="28" t="n">
        <x:v>0</x:v>
      </x:c>
      <x:c r="J49" s="28" t="n">
        <x:v>-20.900000000000006</x:v>
      </x:c>
      <x:c r="K49" s="27"/>
      <x:c r="L49" s="31" t="str">
        <x:v>ADP NOT LOADED</x:v>
      </x:c>
      <x:c r="M49" s="26" t="str">
        <x:v>Projection-only v1.0</x:v>
      </x:c>
    </x:row>
    <x:row r="50">
      <x:c r="A50" s="26" t="n">
        <x:v>46</x:v>
      </x:c>
      <x:c r="B50" s="26" t="n">
        <x:v>4</x:v>
      </x:c>
      <x:c r="C50" s="26" t="n">
        <x:v>46</x:v>
      </x:c>
      <x:c r="D50" s="26" t="str">
        <x:v>Zach Charbonnet</x:v>
      </x:c>
      <x:c r="E50" s="26" t="str">
        <x:v>SEA</x:v>
      </x:c>
      <x:c r="F50" s="26" t="str">
        <x:v>RB</x:v>
      </x:c>
      <x:c r="G50" s="28" t="n">
        <x:v>104.3</x:v>
      </x:c>
      <x:c r="H50" s="28" t="n">
        <x:v>-20.200000000000003</x:v>
      </x:c>
      <x:c r="I50" s="28" t="n">
        <x:v>0</x:v>
      </x:c>
      <x:c r="J50" s="28" t="n">
        <x:v>-20.200000000000003</x:v>
      </x:c>
      <x:c r="K50" s="27"/>
      <x:c r="L50" s="31" t="str">
        <x:v>ADP NOT LOADED</x:v>
      </x:c>
      <x:c r="M50" s="26" t="str">
        <x:v>Projection-only v1.0</x:v>
      </x:c>
    </x:row>
    <x:row r="51">
      <x:c r="A51" s="26" t="n">
        <x:v>47</x:v>
      </x:c>
      <x:c r="B51" s="26" t="n">
        <x:v>4</x:v>
      </x:c>
      <x:c r="C51" s="26" t="n">
        <x:v>47</x:v>
      </x:c>
      <x:c r="D51" s="26" t="str">
        <x:v>Alvin Kamara</x:v>
      </x:c>
      <x:c r="E51" s="26" t="str">
        <x:v>NO</x:v>
      </x:c>
      <x:c r="F51" s="26" t="str">
        <x:v>RB</x:v>
      </x:c>
      <x:c r="G51" s="28" t="n">
        <x:v>96.2</x:v>
      </x:c>
      <x:c r="H51" s="28" t="n">
        <x:v>-28.299999999999997</x:v>
      </x:c>
      <x:c r="I51" s="28" t="n">
        <x:v>0</x:v>
      </x:c>
      <x:c r="J51" s="28" t="n">
        <x:v>-28.299999999999997</x:v>
      </x:c>
      <x:c r="K51" s="27"/>
      <x:c r="L51" s="31" t="str">
        <x:v>ADP NOT LOADED</x:v>
      </x:c>
      <x:c r="M51" s="26" t="str">
        <x:v>Projection-only v1.0</x:v>
      </x:c>
    </x:row>
    <x:row r="52">
      <x:c r="A52" s="26" t="n">
        <x:v>48</x:v>
      </x:c>
      <x:c r="B52" s="26" t="n">
        <x:v>4</x:v>
      </x:c>
      <x:c r="C52" s="26" t="n">
        <x:v>48</x:v>
      </x:c>
      <x:c r="D52" s="26" t="str">
        <x:v>Woody Marks</x:v>
      </x:c>
      <x:c r="E52" s="26" t="str">
        <x:v>HOU</x:v>
      </x:c>
      <x:c r="F52" s="26" t="str">
        <x:v>RB</x:v>
      </x:c>
      <x:c r="G52" s="28" t="n">
        <x:v>98.4</x:v>
      </x:c>
      <x:c r="H52" s="28" t="n">
        <x:v>-26.099999999999994</x:v>
      </x:c>
      <x:c r="I52" s="28" t="n">
        <x:v>0</x:v>
      </x:c>
      <x:c r="J52" s="28" t="n">
        <x:v>-26.099999999999994</x:v>
      </x:c>
      <x:c r="K52" s="27"/>
      <x:c r="L52" s="31" t="str">
        <x:v>ADP NOT LOADED</x:v>
      </x:c>
      <x:c r="M52" s="26" t="str">
        <x:v>Projection-only v1.0</x:v>
      </x:c>
    </x:row>
    <x:row r="53">
      <x:c r="A53" s="26" t="n">
        <x:v>49</x:v>
      </x:c>
      <x:c r="B53" s="26" t="n">
        <x:v>4</x:v>
      </x:c>
      <x:c r="C53" s="26" t="n">
        <x:v>49</x:v>
      </x:c>
      <x:c r="D53" s="26" t="str">
        <x:v>Emmett Johnson</x:v>
      </x:c>
      <x:c r="E53" s="26" t="str">
        <x:v>KC</x:v>
      </x:c>
      <x:c r="F53" s="26" t="str">
        <x:v>RB</x:v>
      </x:c>
      <x:c r="G53" s="28" t="n">
        <x:v>103</x:v>
      </x:c>
      <x:c r="H53" s="28" t="n">
        <x:v>-21.5</x:v>
      </x:c>
      <x:c r="I53" s="28" t="n">
        <x:v>0</x:v>
      </x:c>
      <x:c r="J53" s="28" t="n">
        <x:v>-21.5</x:v>
      </x:c>
      <x:c r="K53" s="27"/>
      <x:c r="L53" s="31" t="str">
        <x:v>ADP NOT LOADED</x:v>
      </x:c>
      <x:c r="M53" s="26" t="str">
        <x:v>Projection-only v1.0</x:v>
      </x:c>
    </x:row>
    <x:row r="54">
      <x:c r="A54" s="26" t="n">
        <x:v>50</x:v>
      </x:c>
      <x:c r="B54" s="26" t="n">
        <x:v>4</x:v>
      </x:c>
      <x:c r="C54" s="26" t="n">
        <x:v>50</x:v>
      </x:c>
      <x:c r="D54" s="26" t="str">
        <x:v>Isiah Pacheco</x:v>
      </x:c>
      <x:c r="E54" s="26" t="str">
        <x:v>DET</x:v>
      </x:c>
      <x:c r="F54" s="26" t="str">
        <x:v>RB</x:v>
      </x:c>
      <x:c r="G54" s="28" t="n">
        <x:v>100.5</x:v>
      </x:c>
      <x:c r="H54" s="28" t="n">
        <x:v>-24</x:v>
      </x:c>
      <x:c r="I54" s="28" t="n">
        <x:v>0</x:v>
      </x:c>
      <x:c r="J54" s="28" t="n">
        <x:v>-24</x:v>
      </x:c>
      <x:c r="K54" s="27"/>
      <x:c r="L54" s="31" t="str">
        <x:v>ADP NOT LOADED</x:v>
      </x:c>
      <x:c r="M54" s="26" t="str">
        <x:v>Projection-only v1.0</x:v>
      </x:c>
    </x:row>
    <x:row r="55">
      <x:c r="A55" s="26" t="n">
        <x:v>51</x:v>
      </x:c>
      <x:c r="B55" s="26" t="n">
        <x:v>4</x:v>
      </x:c>
      <x:c r="C55" s="26" t="n">
        <x:v>51</x:v>
      </x:c>
      <x:c r="D55" s="26" t="str">
        <x:v>Nicholas Singleton</x:v>
      </x:c>
      <x:c r="E55" s="26" t="str">
        <x:v>TEN</x:v>
      </x:c>
      <x:c r="F55" s="26" t="str">
        <x:v>RB</x:v>
      </x:c>
      <x:c r="G55" s="28" t="n">
        <x:v>93.7</x:v>
      </x:c>
      <x:c r="H55" s="28" t="n">
        <x:v>-30.799999999999997</x:v>
      </x:c>
      <x:c r="I55" s="28" t="n">
        <x:v>0</x:v>
      </x:c>
      <x:c r="J55" s="28" t="n">
        <x:v>-30.799999999999997</x:v>
      </x:c>
      <x:c r="K55" s="27"/>
      <x:c r="L55" s="31" t="str">
        <x:v>ADP NOT LOADED</x:v>
      </x:c>
      <x:c r="M55" s="26" t="str">
        <x:v>Projection-only v1.0</x:v>
      </x:c>
    </x:row>
    <x:row r="56">
      <x:c r="A56" s="26" t="n">
        <x:v>52</x:v>
      </x:c>
      <x:c r="B56" s="26" t="n">
        <x:v>4</x:v>
      </x:c>
      <x:c r="C56" s="26" t="n">
        <x:v>52</x:v>
      </x:c>
      <x:c r="D56" s="26" t="str">
        <x:v>Tyler Allgeier</x:v>
      </x:c>
      <x:c r="E56" s="26" t="str">
        <x:v>ARI</x:v>
      </x:c>
      <x:c r="F56" s="26" t="str">
        <x:v>RB</x:v>
      </x:c>
      <x:c r="G56" s="28" t="n">
        <x:v>94.5</x:v>
      </x:c>
      <x:c r="H56" s="28" t="n">
        <x:v>-30</x:v>
      </x:c>
      <x:c r="I56" s="28" t="n">
        <x:v>0</x:v>
      </x:c>
      <x:c r="J56" s="28" t="n">
        <x:v>-30</x:v>
      </x:c>
      <x:c r="K56" s="27"/>
      <x:c r="L56" s="31" t="str">
        <x:v>ADP NOT LOADED</x:v>
      </x:c>
      <x:c r="M56" s="26" t="str">
        <x:v>Projection-only v1.0</x:v>
      </x:c>
    </x:row>
    <x:row r="57">
      <x:c r="A57" s="26" t="n">
        <x:v>53</x:v>
      </x:c>
      <x:c r="B57" s="26" t="n">
        <x:v>4</x:v>
      </x:c>
      <x:c r="C57" s="26" t="n">
        <x:v>53</x:v>
      </x:c>
      <x:c r="D57" s="26" t="str">
        <x:v>Kaytron Allen</x:v>
      </x:c>
      <x:c r="E57" s="26" t="str">
        <x:v>WAS</x:v>
      </x:c>
      <x:c r="F57" s="26" t="str">
        <x:v>RB</x:v>
      </x:c>
      <x:c r="G57" s="28" t="n">
        <x:v>86.4</x:v>
      </x:c>
      <x:c r="H57" s="28" t="n">
        <x:v>-38.099999999999994</x:v>
      </x:c>
      <x:c r="I57" s="28" t="n">
        <x:v>0</x:v>
      </x:c>
      <x:c r="J57" s="28" t="n">
        <x:v>-38.099999999999994</x:v>
      </x:c>
      <x:c r="K57" s="27"/>
      <x:c r="L57" s="31" t="str">
        <x:v>ADP NOT LOADED</x:v>
      </x:c>
      <x:c r="M57" s="26" t="str">
        <x:v>Projection-only v1.0</x:v>
      </x:c>
    </x:row>
    <x:row r="58">
      <x:c r="A58" s="26" t="n">
        <x:v>54</x:v>
      </x:c>
      <x:c r="B58" s="26" t="n">
        <x:v>4</x:v>
      </x:c>
      <x:c r="C58" s="26" t="n">
        <x:v>54</x:v>
      </x:c>
      <x:c r="D58" s="26" t="str">
        <x:v>Brian Robinson Jr.</x:v>
      </x:c>
      <x:c r="E58" s="26" t="str">
        <x:v>ATL</x:v>
      </x:c>
      <x:c r="F58" s="26" t="str">
        <x:v>RB</x:v>
      </x:c>
      <x:c r="G58" s="28" t="n">
        <x:v>86.8</x:v>
      </x:c>
      <x:c r="H58" s="28" t="n">
        <x:v>-37.7</x:v>
      </x:c>
      <x:c r="I58" s="28" t="n">
        <x:v>0</x:v>
      </x:c>
      <x:c r="J58" s="28" t="n">
        <x:v>-37.7</x:v>
      </x:c>
      <x:c r="K58" s="27"/>
      <x:c r="L58" s="31" t="str">
        <x:v>ADP NOT LOADED</x:v>
      </x:c>
      <x:c r="M58" s="26" t="str">
        <x:v>Projection-only v1.0</x:v>
      </x:c>
    </x:row>
    <x:row r="59">
      <x:c r="A59" s="26" t="n">
        <x:v>55</x:v>
      </x:c>
      <x:c r="B59" s="26" t="n">
        <x:v>4</x:v>
      </x:c>
      <x:c r="C59" s="26" t="n">
        <x:v>55</x:v>
      </x:c>
      <x:c r="D59" s="26" t="str">
        <x:v>MarShawn Lloyd</x:v>
      </x:c>
      <x:c r="E59" s="26" t="str">
        <x:v>GB</x:v>
      </x:c>
      <x:c r="F59" s="26" t="str">
        <x:v>RB</x:v>
      </x:c>
      <x:c r="G59" s="28" t="n">
        <x:v>80.5</x:v>
      </x:c>
      <x:c r="H59" s="28" t="n">
        <x:v>-44</x:v>
      </x:c>
      <x:c r="I59" s="28" t="n">
        <x:v>0</x:v>
      </x:c>
      <x:c r="J59" s="28" t="n">
        <x:v>-44</x:v>
      </x:c>
      <x:c r="K59" s="27"/>
      <x:c r="L59" s="31" t="str">
        <x:v>ADP NOT LOADED</x:v>
      </x:c>
      <x:c r="M59" s="26" t="str">
        <x:v>Projection-only v1.0</x:v>
      </x:c>
    </x:row>
    <x:row r="60">
      <x:c r="A60" s="26" t="n">
        <x:v>56</x:v>
      </x:c>
      <x:c r="B60" s="26" t="n">
        <x:v>4</x:v>
      </x:c>
      <x:c r="C60" s="26" t="n">
        <x:v>56</x:v>
      </x:c>
      <x:c r="D60" s="26" t="str">
        <x:v>Jaylen Wright</x:v>
      </x:c>
      <x:c r="E60" s="26" t="str">
        <x:v>MIA</x:v>
      </x:c>
      <x:c r="F60" s="26" t="str">
        <x:v>RB</x:v>
      </x:c>
      <x:c r="G60" s="28" t="n">
        <x:v>81.8</x:v>
      </x:c>
      <x:c r="H60" s="28" t="n">
        <x:v>-42.7</x:v>
      </x:c>
      <x:c r="I60" s="28" t="n">
        <x:v>0</x:v>
      </x:c>
      <x:c r="J60" s="28" t="n">
        <x:v>-42.7</x:v>
      </x:c>
      <x:c r="K60" s="27"/>
      <x:c r="L60" s="31" t="str">
        <x:v>ADP NOT LOADED</x:v>
      </x:c>
      <x:c r="M60" s="26" t="str">
        <x:v>Projection-only v1.0</x:v>
      </x:c>
    </x:row>
    <x:row r="61">
      <x:c r="A61" s="26" t="n">
        <x:v>57</x:v>
      </x:c>
      <x:c r="B61" s="26" t="n">
        <x:v>4</x:v>
      </x:c>
      <x:c r="C61" s="26" t="n">
        <x:v>57</x:v>
      </x:c>
      <x:c r="D61" s="26" t="str">
        <x:v>Keaton Mitchell</x:v>
      </x:c>
      <x:c r="E61" s="26" t="str">
        <x:v>LAC</x:v>
      </x:c>
      <x:c r="F61" s="26" t="str">
        <x:v>RB</x:v>
      </x:c>
      <x:c r="G61" s="28" t="n">
        <x:v>78.8</x:v>
      </x:c>
      <x:c r="H61" s="28" t="n">
        <x:v>-45.7</x:v>
      </x:c>
      <x:c r="I61" s="28" t="n">
        <x:v>0</x:v>
      </x:c>
      <x:c r="J61" s="28" t="n">
        <x:v>-45.7</x:v>
      </x:c>
      <x:c r="K61" s="27"/>
      <x:c r="L61" s="31" t="str">
        <x:v>ADP NOT LOADED</x:v>
      </x:c>
      <x:c r="M61" s="26" t="str">
        <x:v>Projection-only v1.0</x:v>
      </x:c>
    </x:row>
    <x:row r="62">
      <x:c r="A62" s="26" t="n">
        <x:v>58</x:v>
      </x:c>
      <x:c r="B62" s="26" t="n">
        <x:v>4</x:v>
      </x:c>
      <x:c r="C62" s="26" t="n">
        <x:v>58</x:v>
      </x:c>
      <x:c r="D62" s="26" t="str">
        <x:v>Dylan Sampson</x:v>
      </x:c>
      <x:c r="E62" s="26" t="str">
        <x:v>CLE</x:v>
      </x:c>
      <x:c r="F62" s="26" t="str">
        <x:v>RB</x:v>
      </x:c>
      <x:c r="G62" s="28" t="n">
        <x:v>69.7</x:v>
      </x:c>
      <x:c r="H62" s="28" t="n">
        <x:v>-54.8</x:v>
      </x:c>
      <x:c r="I62" s="28" t="n">
        <x:v>0</x:v>
      </x:c>
      <x:c r="J62" s="28" t="n">
        <x:v>-54.8</x:v>
      </x:c>
      <x:c r="K62" s="27"/>
      <x:c r="L62" s="31" t="str">
        <x:v>ADP NOT LOADED</x:v>
      </x:c>
      <x:c r="M62" s="26" t="str">
        <x:v>Projection-only v1.0</x:v>
      </x:c>
    </x:row>
    <x:row r="63">
      <x:c r="A63" s="26" t="n">
        <x:v>59</x:v>
      </x:c>
      <x:c r="B63" s="26" t="n">
        <x:v>4</x:v>
      </x:c>
      <x:c r="C63" s="26" t="n">
        <x:v>59</x:v>
      </x:c>
      <x:c r="D63" s="26" t="str">
        <x:v>LeQuint Allen Jr.</x:v>
      </x:c>
      <x:c r="E63" s="26" t="str">
        <x:v>JAX</x:v>
      </x:c>
      <x:c r="F63" s="26" t="str">
        <x:v>RB</x:v>
      </x:c>
      <x:c r="G63" s="28" t="n">
        <x:v>62.4</x:v>
      </x:c>
      <x:c r="H63" s="28" t="n">
        <x:v>-62.1</x:v>
      </x:c>
      <x:c r="I63" s="28" t="n">
        <x:v>0</x:v>
      </x:c>
      <x:c r="J63" s="28" t="n">
        <x:v>-62.1</x:v>
      </x:c>
      <x:c r="K63" s="27"/>
      <x:c r="L63" s="31" t="str">
        <x:v>ADP NOT LOADED</x:v>
      </x:c>
      <x:c r="M63" s="26" t="str">
        <x:v>Projection-only v1.0</x:v>
      </x:c>
    </x:row>
    <x:row r="64">
      <x:c r="A64" s="26" t="n">
        <x:v>60</x:v>
      </x:c>
      <x:c r="B64" s="26" t="n">
        <x:v>4</x:v>
      </x:c>
      <x:c r="C64" s="26" t="n">
        <x:v>60</x:v>
      </x:c>
      <x:c r="D64" s="26" t="str">
        <x:v>Jordan James</x:v>
      </x:c>
      <x:c r="E64" s="26" t="str">
        <x:v>SF</x:v>
      </x:c>
      <x:c r="F64" s="26" t="str">
        <x:v>RB</x:v>
      </x:c>
      <x:c r="G64" s="28" t="n">
        <x:v>72.7</x:v>
      </x:c>
      <x:c r="H64" s="28" t="n">
        <x:v>-51.8</x:v>
      </x:c>
      <x:c r="I64" s="28" t="n">
        <x:v>0</x:v>
      </x:c>
      <x:c r="J64" s="28" t="n">
        <x:v>-51.8</x:v>
      </x:c>
      <x:c r="K64" s="27"/>
      <x:c r="L64" s="31" t="str">
        <x:v>ADP NOT LOADED</x:v>
      </x:c>
      <x:c r="M64" s="26" t="str">
        <x:v>Projection-only v1.0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Braelon Allen</x:v>
      </x:c>
      <x:c r="E65" s="26" t="str">
        <x:v>NYJ</x:v>
      </x:c>
      <x:c r="F65" s="26" t="str">
        <x:v>RB</x:v>
      </x:c>
      <x:c r="G65" s="28" t="n">
        <x:v>71.3</x:v>
      </x:c>
      <x:c r="H65" s="28" t="n">
        <x:v>-53.2</x:v>
      </x:c>
      <x:c r="I65" s="28" t="n">
        <x:v>0</x:v>
      </x:c>
      <x:c r="J65" s="28" t="n">
        <x:v>-53.2</x:v>
      </x:c>
      <x:c r="K65" s="27"/>
      <x:c r="L65" s="31" t="str">
        <x:v>ADP NOT LOADED</x:v>
      </x:c>
      <x:c r="M65" s="26" t="str">
        <x:v>Projection-only v1.0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James Conner</x:v>
      </x:c>
      <x:c r="E66" s="26" t="str">
        <x:v>ARI</x:v>
      </x:c>
      <x:c r="F66" s="26" t="str">
        <x:v>RB</x:v>
      </x:c>
      <x:c r="G66" s="28" t="n">
        <x:v>65.5</x:v>
      </x:c>
      <x:c r="H66" s="28" t="n">
        <x:v>-59</x:v>
      </x:c>
      <x:c r="I66" s="28" t="n">
        <x:v>0</x:v>
      </x:c>
      <x:c r="J66" s="28" t="n">
        <x:v>-59</x:v>
      </x:c>
      <x:c r="K66" s="27"/>
      <x:c r="L66" s="31" t="str">
        <x:v>ADP NOT LOADED</x:v>
      </x:c>
      <x:c r="M66" s="26" t="str">
        <x:v>Projection-only v1.0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George Holani</x:v>
      </x:c>
      <x:c r="E67" s="26" t="str">
        <x:v>SEA</x:v>
      </x:c>
      <x:c r="F67" s="26" t="str">
        <x:v>RB</x:v>
      </x:c>
      <x:c r="G67" s="28" t="n">
        <x:v>67.9</x:v>
      </x:c>
      <x:c r="H67" s="28" t="n">
        <x:v>-56.599999999999994</x:v>
      </x:c>
      <x:c r="I67" s="28" t="n">
        <x:v>0</x:v>
      </x:c>
      <x:c r="J67" s="28" t="n">
        <x:v>-56.599999999999994</x:v>
      </x:c>
      <x:c r="K67" s="27"/>
      <x:c r="L67" s="31" t="str">
        <x:v>ADP NOT LOADED</x:v>
      </x:c>
      <x:c r="M67" s="26" t="str">
        <x:v>Projection-only v1.0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AJ Dillon</x:v>
      </x:c>
      <x:c r="E68" s="26" t="str">
        <x:v>CAR</x:v>
      </x:c>
      <x:c r="F68" s="26" t="str">
        <x:v>RB</x:v>
      </x:c>
      <x:c r="G68" s="28" t="n">
        <x:v>66.1</x:v>
      </x:c>
      <x:c r="H68" s="28" t="n">
        <x:v>-58.400000000000006</x:v>
      </x:c>
      <x:c r="I68" s="28" t="n">
        <x:v>0</x:v>
      </x:c>
      <x:c r="J68" s="28" t="n">
        <x:v>-58.400000000000006</x:v>
      </x:c>
      <x:c r="K68" s="27"/>
      <x:c r="L68" s="31" t="str">
        <x:v>ADP NOT LOADED</x:v>
      </x:c>
      <x:c r="M68" s="26" t="str">
        <x:v>Projection-only v1.0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Tank Bigsby</x:v>
      </x:c>
      <x:c r="E69" s="26" t="str">
        <x:v>PHI</x:v>
      </x:c>
      <x:c r="F69" s="26" t="str">
        <x:v>RB</x:v>
      </x:c>
      <x:c r="G69" s="28" t="n">
        <x:v>67.9</x:v>
      </x:c>
      <x:c r="H69" s="28" t="n">
        <x:v>-56.599999999999994</x:v>
      </x:c>
      <x:c r="I69" s="28" t="n">
        <x:v>0</x:v>
      </x:c>
      <x:c r="J69" s="28" t="n">
        <x:v>-56.599999999999994</x:v>
      </x:c>
      <x:c r="K69" s="27"/>
      <x:c r="L69" s="31" t="str">
        <x:v>ADP NOT LOADED</x:v>
      </x:c>
      <x:c r="M69" s="26" t="str">
        <x:v>Projection-only v1.0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Demond Claiborne</x:v>
      </x:c>
      <x:c r="E70" s="26" t="str">
        <x:v>MIN</x:v>
      </x:c>
      <x:c r="F70" s="26" t="str">
        <x:v>RB</x:v>
      </x:c>
      <x:c r="G70" s="28" t="n">
        <x:v>61</x:v>
      </x:c>
      <x:c r="H70" s="28" t="n">
        <x:v>-63.5</x:v>
      </x:c>
      <x:c r="I70" s="28" t="n">
        <x:v>0</x:v>
      </x:c>
      <x:c r="J70" s="28" t="n">
        <x:v>-63.5</x:v>
      </x:c>
      <x:c r="K70" s="27"/>
      <x:c r="L70" s="31" t="str">
        <x:v>ADP NOT LOADED</x:v>
      </x:c>
      <x:c r="M70" s="26" t="str">
        <x:v>Projection-only v1.0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Chris Brooks</x:v>
      </x:c>
      <x:c r="E71" s="26" t="str">
        <x:v>GB</x:v>
      </x:c>
      <x:c r="F71" s="26" t="str">
        <x:v>RB</x:v>
      </x:c>
      <x:c r="G71" s="28" t="n">
        <x:v>55.8</x:v>
      </x:c>
      <x:c r="H71" s="28" t="n">
        <x:v>-68.7</x:v>
      </x:c>
      <x:c r="I71" s="28" t="n">
        <x:v>0</x:v>
      </x:c>
      <x:c r="J71" s="28" t="n">
        <x:v>-68.7</x:v>
      </x:c>
      <x:c r="K71" s="27"/>
      <x:c r="L71" s="31" t="str">
        <x:v>ADP NOT LOADED</x:v>
      </x:c>
      <x:c r="M71" s="26" t="str">
        <x:v>Projection-only v1.0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Sean Tucker</x:v>
      </x:c>
      <x:c r="E72" s="26" t="str">
        <x:v>TB</x:v>
      </x:c>
      <x:c r="F72" s="26" t="str">
        <x:v>RB</x:v>
      </x:c>
      <x:c r="G72" s="28" t="n">
        <x:v>60.4</x:v>
      </x:c>
      <x:c r="H72" s="28" t="n">
        <x:v>-64.1</x:v>
      </x:c>
      <x:c r="I72" s="28" t="n">
        <x:v>0</x:v>
      </x:c>
      <x:c r="J72" s="28" t="n">
        <x:v>-64.1</x:v>
      </x:c>
      <x:c r="K72" s="27"/>
      <x:c r="L72" s="31" t="str">
        <x:v>ADP NOT LOADED</x:v>
      </x:c>
      <x:c r="M72" s="26" t="str">
        <x:v>Projection-only v1.0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Jonah Coleman</x:v>
      </x:c>
      <x:c r="E73" s="26" t="str">
        <x:v>DEN</x:v>
      </x:c>
      <x:c r="F73" s="26" t="str">
        <x:v>RB</x:v>
      </x:c>
      <x:c r="G73" s="28" t="n">
        <x:v>54</x:v>
      </x:c>
      <x:c r="H73" s="28" t="n">
        <x:v>-70.5</x:v>
      </x:c>
      <x:c r="I73" s="28" t="n">
        <x:v>0</x:v>
      </x:c>
      <x:c r="J73" s="28" t="n">
        <x:v>-70.5</x:v>
      </x:c>
      <x:c r="K73" s="27"/>
      <x:c r="L73" s="31" t="str">
        <x:v>ADP NOT LOADED</x:v>
      </x:c>
      <x:c r="M73" s="26" t="str">
        <x:v>Projection-only v1.0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Justice Hill</x:v>
      </x:c>
      <x:c r="E74" s="26" t="str">
        <x:v>BAL</x:v>
      </x:c>
      <x:c r="F74" s="26" t="str">
        <x:v>RB</x:v>
      </x:c>
      <x:c r="G74" s="28" t="n">
        <x:v>51.2</x:v>
      </x:c>
      <x:c r="H74" s="28" t="n">
        <x:v>-73.3</x:v>
      </x:c>
      <x:c r="I74" s="28" t="n">
        <x:v>0</x:v>
      </x:c>
      <x:c r="J74" s="28" t="n">
        <x:v>-73.3</x:v>
      </x:c>
      <x:c r="K74" s="27"/>
      <x:c r="L74" s="31" t="str">
        <x:v>ADP NOT LOADED</x:v>
      </x:c>
      <x:c r="M74" s="26" t="str">
        <x:v>Projection-only v1.0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Kimani Vidal</x:v>
      </x:c>
      <x:c r="E75" s="26" t="str">
        <x:v>LAC</x:v>
      </x:c>
      <x:c r="F75" s="26" t="str">
        <x:v>RB</x:v>
      </x:c>
      <x:c r="G75" s="28" t="n">
        <x:v>53.7</x:v>
      </x:c>
      <x:c r="H75" s="28" t="n">
        <x:v>-70.8</x:v>
      </x:c>
      <x:c r="I75" s="28" t="n">
        <x:v>0</x:v>
      </x:c>
      <x:c r="J75" s="28" t="n">
        <x:v>-70.8</x:v>
      </x:c>
      <x:c r="K75" s="27"/>
      <x:c r="L75" s="31" t="str">
        <x:v>ADP NOT LOADED</x:v>
      </x:c>
      <x:c r="M75" s="26" t="str">
        <x:v>Projection-only v1.0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Jawhar Jordan</x:v>
      </x:c>
      <x:c r="E76" s="26" t="str">
        <x:v>HOU</x:v>
      </x:c>
      <x:c r="F76" s="26" t="str">
        <x:v>RB</x:v>
      </x:c>
      <x:c r="G76" s="28" t="n">
        <x:v>47.4</x:v>
      </x:c>
      <x:c r="H76" s="28" t="n">
        <x:v>-77.1</x:v>
      </x:c>
      <x:c r="I76" s="28" t="n">
        <x:v>0</x:v>
      </x:c>
      <x:c r="J76" s="28" t="n">
        <x:v>-77.1</x:v>
      </x:c>
      <x:c r="K76" s="27"/>
      <x:c r="L76" s="31" t="str">
        <x:v>ADP NOT LOADED</x:v>
      </x:c>
      <x:c r="M76" s="26" t="str">
        <x:v>Projection-only v1.0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Malik Davis</x:v>
      </x:c>
      <x:c r="E77" s="26" t="str">
        <x:v>DAL</x:v>
      </x:c>
      <x:c r="F77" s="26" t="str">
        <x:v>RB</x:v>
      </x:c>
      <x:c r="G77" s="28" t="n">
        <x:v>47.9</x:v>
      </x:c>
      <x:c r="H77" s="28" t="n">
        <x:v>-76.6</x:v>
      </x:c>
      <x:c r="I77" s="28" t="n">
        <x:v>0</x:v>
      </x:c>
      <x:c r="J77" s="28" t="n">
        <x:v>-76.6</x:v>
      </x:c>
      <x:c r="K77" s="27"/>
      <x:c r="L77" s="31" t="str">
        <x:v>ADP NOT LOADED</x:v>
      </x:c>
      <x:c r="M77" s="26" t="str">
        <x:v>Projection-only v1.0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Ray Davis</x:v>
      </x:c>
      <x:c r="E78" s="26" t="str">
        <x:v>BUF</x:v>
      </x:c>
      <x:c r="F78" s="26" t="str">
        <x:v>RB</x:v>
      </x:c>
      <x:c r="G78" s="28" t="n">
        <x:v>43.6</x:v>
      </x:c>
      <x:c r="H78" s="28" t="n">
        <x:v>-80.9</x:v>
      </x:c>
      <x:c r="I78" s="28" t="n">
        <x:v>0</x:v>
      </x:c>
      <x:c r="J78" s="28" t="n">
        <x:v>-80.9</x:v>
      </x:c>
      <x:c r="K78" s="27"/>
      <x:c r="L78" s="31" t="str">
        <x:v>ADP NOT LOADED</x:v>
      </x:c>
      <x:c r="M78" s="26" t="str">
        <x:v>Projection-only v1.0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Tahj Brooks</x:v>
      </x:c>
      <x:c r="E79" s="26" t="str">
        <x:v>CIN</x:v>
      </x:c>
      <x:c r="F79" s="26" t="str">
        <x:v>RB</x:v>
      </x:c>
      <x:c r="G79" s="28" t="n">
        <x:v>46.1</x:v>
      </x:c>
      <x:c r="H79" s="28" t="n">
        <x:v>-78.4</x:v>
      </x:c>
      <x:c r="I79" s="28" t="n">
        <x:v>0</x:v>
      </x:c>
      <x:c r="J79" s="28" t="n">
        <x:v>-78.4</x:v>
      </x:c>
      <x:c r="K79" s="27"/>
      <x:c r="L79" s="31" t="str">
        <x:v>ADP NOT LOADED</x:v>
      </x:c>
      <x:c r="M79" s="26" t="str">
        <x:v>Projection-only v1.0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Ollie Gordon II</x:v>
      </x:c>
      <x:c r="E80" s="26" t="str">
        <x:v>MIA</x:v>
      </x:c>
      <x:c r="F80" s="26" t="str">
        <x:v>RB</x:v>
      </x:c>
      <x:c r="G80" s="28" t="n">
        <x:v>40.7</x:v>
      </x:c>
      <x:c r="H80" s="28" t="n">
        <x:v>-83.8</x:v>
      </x:c>
      <x:c r="I80" s="28" t="n">
        <x:v>0</x:v>
      </x:c>
      <x:c r="J80" s="28" t="n">
        <x:v>-83.8</x:v>
      </x:c>
      <x:c r="K80" s="27"/>
      <x:c r="L80" s="31" t="str">
        <x:v>ADP NOT LOADED</x:v>
      </x:c>
      <x:c r="M80" s="26" t="str">
        <x:v>Projection-only v1.0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Eli Heidenreich</x:v>
      </x:c>
      <x:c r="E81" s="26" t="str">
        <x:v>PIT</x:v>
      </x:c>
      <x:c r="F81" s="26" t="str">
        <x:v>RB</x:v>
      </x:c>
      <x:c r="G81" s="28" t="n">
        <x:v>40.6</x:v>
      </x:c>
      <x:c r="H81" s="28" t="n">
        <x:v>-83.9</x:v>
      </x:c>
      <x:c r="I81" s="28" t="n">
        <x:v>0</x:v>
      </x:c>
      <x:c r="J81" s="28" t="n">
        <x:v>-83.9</x:v>
      </x:c>
      <x:c r="K81" s="27"/>
      <x:c r="L81" s="31" t="str">
        <x:v>ADP NOT LOADED</x:v>
      </x:c>
      <x:c r="M81" s="26" t="str">
        <x:v>Projection-only v1.0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Brashard Smith</x:v>
      </x:c>
      <x:c r="E82" s="26" t="str">
        <x:v>KC</x:v>
      </x:c>
      <x:c r="F82" s="26" t="str">
        <x:v>RB</x:v>
      </x:c>
      <x:c r="G82" s="28" t="n">
        <x:v>33.9</x:v>
      </x:c>
      <x:c r="H82" s="28" t="n">
        <x:v>-90.6</x:v>
      </x:c>
      <x:c r="I82" s="28" t="n">
        <x:v>0</x:v>
      </x:c>
      <x:c r="J82" s="28" t="n">
        <x:v>-90.6</x:v>
      </x:c>
      <x:c r="K82" s="27"/>
      <x:c r="L82" s="31" t="str">
        <x:v>ADP NOT LOADED</x:v>
      </x:c>
      <x:c r="M82" s="26" t="str">
        <x:v>Projection-only v1.0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Jaydon Blue</x:v>
      </x:c>
      <x:c r="E83" s="26" t="str">
        <x:v>DAL</x:v>
      </x:c>
      <x:c r="F83" s="26" t="str">
        <x:v>RB</x:v>
      </x:c>
      <x:c r="G83" s="28" t="n">
        <x:v>35.6</x:v>
      </x:c>
      <x:c r="H83" s="28" t="n">
        <x:v>-88.9</x:v>
      </x:c>
      <x:c r="I83" s="28" t="n">
        <x:v>0</x:v>
      </x:c>
      <x:c r="J83" s="28" t="n">
        <x:v>-88.9</x:v>
      </x:c>
      <x:c r="K83" s="27"/>
      <x:c r="L83" s="31" t="str">
        <x:v>ADP NOT LOADED</x:v>
      </x:c>
      <x:c r="M83" s="26" t="str">
        <x:v>Projection-only v1.0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Emanuel Wilson</x:v>
      </x:c>
      <x:c r="E84" s="26" t="str">
        <x:v>SEA</x:v>
      </x:c>
      <x:c r="F84" s="26" t="str">
        <x:v>RB</x:v>
      </x:c>
      <x:c r="G84" s="28" t="n">
        <x:v>33.4</x:v>
      </x:c>
      <x:c r="H84" s="28" t="n">
        <x:v>-91.1</x:v>
      </x:c>
      <x:c r="I84" s="28" t="n">
        <x:v>0</x:v>
      </x:c>
      <x:c r="J84" s="28" t="n">
        <x:v>-91.1</x:v>
      </x:c>
      <x:c r="K84" s="27"/>
      <x:c r="L84" s="31" t="str">
        <x:v>ADP NOT LOADED</x:v>
      </x:c>
      <x:c r="M84" s="26" t="str">
        <x:v>Projection-only v1.0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Frank Gore Jr.</x:v>
      </x:c>
      <x:c r="E85" s="26" t="str">
        <x:v>BUF</x:v>
      </x:c>
      <x:c r="F85" s="26" t="str">
        <x:v>RB</x:v>
      </x:c>
      <x:c r="G85" s="28" t="n">
        <x:v>32.5</x:v>
      </x:c>
      <x:c r="H85" s="28" t="n">
        <x:v>-92</x:v>
      </x:c>
      <x:c r="I85" s="28" t="n">
        <x:v>0</x:v>
      </x:c>
      <x:c r="J85" s="28" t="n">
        <x:v>-92</x:v>
      </x:c>
      <x:c r="K85" s="27"/>
      <x:c r="L85" s="31" t="str">
        <x:v>ADP NOT LOADED</x:v>
      </x:c>
      <x:c r="M85" s="26" t="str">
        <x:v>Projection-only v1.0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Seth McGowan</x:v>
      </x:c>
      <x:c r="E86" s="26" t="str">
        <x:v>IND</x:v>
      </x:c>
      <x:c r="F86" s="26" t="str">
        <x:v>RB</x:v>
      </x:c>
      <x:c r="G86" s="28" t="n">
        <x:v>31.4</x:v>
      </x:c>
      <x:c r="H86" s="28" t="n">
        <x:v>-93.1</x:v>
      </x:c>
      <x:c r="I86" s="28" t="n">
        <x:v>0</x:v>
      </x:c>
      <x:c r="J86" s="28" t="n">
        <x:v>-93.1</x:v>
      </x:c>
      <x:c r="K86" s="27"/>
      <x:c r="L86" s="31" t="str">
        <x:v>ADP NOT LOADED</x:v>
      </x:c>
      <x:c r="M86" s="26" t="str">
        <x:v>Projection-only v1.0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Roschon Johnson</x:v>
      </x:c>
      <x:c r="E87" s="26" t="str">
        <x:v>CHI</x:v>
      </x:c>
      <x:c r="F87" s="26" t="str">
        <x:v>RB</x:v>
      </x:c>
      <x:c r="G87" s="28" t="n">
        <x:v>32.1</x:v>
      </x:c>
      <x:c r="H87" s="28" t="n">
        <x:v>-92.4</x:v>
      </x:c>
      <x:c r="I87" s="28" t="n">
        <x:v>0</x:v>
      </x:c>
      <x:c r="J87" s="28" t="n">
        <x:v>-92.4</x:v>
      </x:c>
      <x:c r="K87" s="27"/>
      <x:c r="L87" s="31" t="str">
        <x:v>ADP NOT LOADED</x:v>
      </x:c>
      <x:c r="M87" s="26" t="str">
        <x:v>Projection-only v1.0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Kyle Juszczyk</x:v>
      </x:c>
      <x:c r="E88" s="26" t="str">
        <x:v>SF</x:v>
      </x:c>
      <x:c r="F88" s="26" t="str">
        <x:v>RB</x:v>
      </x:c>
      <x:c r="G88" s="28" t="n">
        <x:v>25.5</x:v>
      </x:c>
      <x:c r="H88" s="28" t="n">
        <x:v>-99</x:v>
      </x:c>
      <x:c r="I88" s="28" t="n">
        <x:v>0</x:v>
      </x:c>
      <x:c r="J88" s="28" t="n">
        <x:v>-99</x:v>
      </x:c>
      <x:c r="K88" s="27"/>
      <x:c r="L88" s="31" t="str">
        <x:v>ADP NOT LOADED</x:v>
      </x:c>
      <x:c r="M88" s="26" t="str">
        <x:v>Projection-only v1.0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Devin Neal</x:v>
      </x:c>
      <x:c r="E89" s="26" t="str">
        <x:v>NO</x:v>
      </x:c>
      <x:c r="F89" s="26" t="str">
        <x:v>RB</x:v>
      </x:c>
      <x:c r="G89" s="28" t="n">
        <x:v>31.1</x:v>
      </x:c>
      <x:c r="H89" s="28" t="n">
        <x:v>-93.4</x:v>
      </x:c>
      <x:c r="I89" s="28" t="n">
        <x:v>0</x:v>
      </x:c>
      <x:c r="J89" s="28" t="n">
        <x:v>-93.4</x:v>
      </x:c>
      <x:c r="K89" s="27"/>
      <x:c r="L89" s="31" t="str">
        <x:v>ADP NOT LOADED</x:v>
      </x:c>
      <x:c r="M89" s="26" t="str">
        <x:v>Projection-only v1.0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Terrell Jennings</x:v>
      </x:c>
      <x:c r="E90" s="26" t="str">
        <x:v>NE</x:v>
      </x:c>
      <x:c r="F90" s="26" t="str">
        <x:v>RB</x:v>
      </x:c>
      <x:c r="G90" s="28" t="n">
        <x:v>29.4</x:v>
      </x:c>
      <x:c r="H90" s="28" t="n">
        <x:v>-95.1</x:v>
      </x:c>
      <x:c r="I90" s="28" t="n">
        <x:v>0</x:v>
      </x:c>
      <x:c r="J90" s="28" t="n">
        <x:v>-95.1</x:v>
      </x:c>
      <x:c r="K90" s="27"/>
      <x:c r="L90" s="31" t="str">
        <x:v>ADP NOT LOADED</x:v>
      </x:c>
      <x:c r="M90" s="26" t="str">
        <x:v>Projection-only v1.0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Kaelon Black</x:v>
      </x:c>
      <x:c r="E91" s="26" t="str">
        <x:v>SF</x:v>
      </x:c>
      <x:c r="F91" s="26" t="str">
        <x:v>RB</x:v>
      </x:c>
      <x:c r="G91" s="28" t="n">
        <x:v>30.6</x:v>
      </x:c>
      <x:c r="H91" s="28" t="n">
        <x:v>-93.9</x:v>
      </x:c>
      <x:c r="I91" s="28" t="n">
        <x:v>0</x:v>
      </x:c>
      <x:c r="J91" s="28" t="n">
        <x:v>-93.9</x:v>
      </x:c>
      <x:c r="K91" s="27"/>
      <x:c r="L91" s="31" t="str">
        <x:v>ADP NOT LOADED</x:v>
      </x:c>
      <x:c r="M91" s="26" t="str">
        <x:v>Projection-only v1.0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Isaiah Davis</x:v>
      </x:c>
      <x:c r="E92" s="26" t="str">
        <x:v>NYJ</x:v>
      </x:c>
      <x:c r="F92" s="26" t="str">
        <x:v>RB</x:v>
      </x:c>
      <x:c r="G92" s="28" t="n">
        <x:v>27.8</x:v>
      </x:c>
      <x:c r="H92" s="28" t="n">
        <x:v>-96.7</x:v>
      </x:c>
      <x:c r="I92" s="28" t="n">
        <x:v>0</x:v>
      </x:c>
      <x:c r="J92" s="28" t="n">
        <x:v>-96.7</x:v>
      </x:c>
      <x:c r="K92" s="27"/>
      <x:c r="L92" s="31" t="str">
        <x:v>ADP NOT LOADED</x:v>
      </x:c>
      <x:c r="M92" s="26" t="str">
        <x:v>Projection-only v1.0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Devin Singletary</x:v>
      </x:c>
      <x:c r="E93" s="26" t="str">
        <x:v>NYG</x:v>
      </x:c>
      <x:c r="F93" s="26" t="str">
        <x:v>RB</x:v>
      </x:c>
      <x:c r="G93" s="28" t="n">
        <x:v>28.8</x:v>
      </x:c>
      <x:c r="H93" s="28" t="n">
        <x:v>-95.7</x:v>
      </x:c>
      <x:c r="I93" s="28" t="n">
        <x:v>0</x:v>
      </x:c>
      <x:c r="J93" s="28" t="n">
        <x:v>-95.7</x:v>
      </x:c>
      <x:c r="K93" s="27"/>
      <x:c r="L93" s="31" t="str">
        <x:v>ADP NOT LOADED</x:v>
      </x:c>
      <x:c r="M93" s="26" t="str">
        <x:v>Projection-only v1.0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Samaje Perine</x:v>
      </x:c>
      <x:c r="E94" s="26" t="str">
        <x:v>CIN</x:v>
      </x:c>
      <x:c r="F94" s="26" t="str">
        <x:v>RB</x:v>
      </x:c>
      <x:c r="G94" s="28" t="n">
        <x:v>27.3</x:v>
      </x:c>
      <x:c r="H94" s="28" t="n">
        <x:v>-97.2</x:v>
      </x:c>
      <x:c r="I94" s="28" t="n">
        <x:v>0</x:v>
      </x:c>
      <x:c r="J94" s="28" t="n">
        <x:v>-97.2</x:v>
      </x:c>
      <x:c r="K94" s="27"/>
      <x:c r="L94" s="31" t="str">
        <x:v>ADP NOT LOADED</x:v>
      </x:c>
      <x:c r="M94" s="26" t="str">
        <x:v>Projection-only v1.0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Ty Johnson</x:v>
      </x:c>
      <x:c r="E95" s="26" t="str">
        <x:v>BUF</x:v>
      </x:c>
      <x:c r="F95" s="26" t="str">
        <x:v>RB</x:v>
      </x:c>
      <x:c r="G95" s="28" t="n">
        <x:v>26.7</x:v>
      </x:c>
      <x:c r="H95" s="28" t="n">
        <x:v>-97.8</x:v>
      </x:c>
      <x:c r="I95" s="28" t="n">
        <x:v>0</x:v>
      </x:c>
      <x:c r="J95" s="28" t="n">
        <x:v>-97.8</x:v>
      </x:c>
      <x:c r="K95" s="27"/>
      <x:c r="L95" s="31" t="str">
        <x:v>ADP NOT LOADED</x:v>
      </x:c>
      <x:c r="M95" s="26" t="str">
        <x:v>Projection-only v1.0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Ty Chandler</x:v>
      </x:c>
      <x:c r="E96" s="26" t="str">
        <x:v>NO</x:v>
      </x:c>
      <x:c r="F96" s="26" t="str">
        <x:v>RB</x:v>
      </x:c>
      <x:c r="G96" s="28" t="n">
        <x:v>26.3</x:v>
      </x:c>
      <x:c r="H96" s="28" t="n">
        <x:v>-98.2</x:v>
      </x:c>
      <x:c r="I96" s="28" t="n">
        <x:v>0</x:v>
      </x:c>
      <x:c r="J96" s="28" t="n">
        <x:v>-98.2</x:v>
      </x:c>
      <x:c r="K96" s="27"/>
      <x:c r="L96" s="31" t="str">
        <x:v>ADP NOT LOADED</x:v>
      </x:c>
      <x:c r="M96" s="26" t="str">
        <x:v>Projection-only v1.0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Kendre Miller</x:v>
      </x:c>
      <x:c r="E97" s="26" t="str">
        <x:v>NO</x:v>
      </x:c>
      <x:c r="F97" s="26" t="str">
        <x:v>RB</x:v>
      </x:c>
      <x:c r="G97" s="28" t="n">
        <x:v>27.3</x:v>
      </x:c>
      <x:c r="H97" s="28" t="n">
        <x:v>-97.2</x:v>
      </x:c>
      <x:c r="I97" s="28" t="n">
        <x:v>0</x:v>
      </x:c>
      <x:c r="J97" s="28" t="n">
        <x:v>-97.2</x:v>
      </x:c>
      <x:c r="K97" s="27"/>
      <x:c r="L97" s="31" t="str">
        <x:v>ADP NOT LOADED</x:v>
      </x:c>
      <x:c r="M97" s="26" t="str">
        <x:v>Projection-only v1.0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Kaleb Johnson</x:v>
      </x:c>
      <x:c r="E98" s="26" t="str">
        <x:v>PIT</x:v>
      </x:c>
      <x:c r="F98" s="26" t="str">
        <x:v>RB</x:v>
      </x:c>
      <x:c r="G98" s="28" t="n">
        <x:v>27.5</x:v>
      </x:c>
      <x:c r="H98" s="28" t="n">
        <x:v>-97</x:v>
      </x:c>
      <x:c r="I98" s="28" t="n">
        <x:v>0</x:v>
      </x:c>
      <x:c r="J98" s="28" t="n">
        <x:v>-97</x:v>
      </x:c>
      <x:c r="K98" s="27"/>
      <x:c r="L98" s="31" t="str">
        <x:v>ADP NOT LOADED</x:v>
      </x:c>
      <x:c r="M98" s="26" t="str">
        <x:v>Projection-only v1.0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Phil Mafah</x:v>
      </x:c>
      <x:c r="E99" s="26" t="str">
        <x:v>DAL</x:v>
      </x:c>
      <x:c r="F99" s="26" t="str">
        <x:v>RB</x:v>
      </x:c>
      <x:c r="G99" s="28" t="n">
        <x:v>25.5</x:v>
      </x:c>
      <x:c r="H99" s="28" t="n">
        <x:v>-99</x:v>
      </x:c>
      <x:c r="I99" s="28" t="n">
        <x:v>0</x:v>
      </x:c>
      <x:c r="J99" s="28" t="n">
        <x:v>-99</x:v>
      </x:c>
      <x:c r="K99" s="27"/>
      <x:c r="L99" s="31" t="str">
        <x:v>ADP NOT LOADED</x:v>
      </x:c>
      <x:c r="M99" s="26" t="str">
        <x:v>Projection-only v1.0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J'Mari Taylor</x:v>
      </x:c>
      <x:c r="E100" s="26" t="str">
        <x:v>JAX</x:v>
      </x:c>
      <x:c r="F100" s="26" t="str">
        <x:v>RB</x:v>
      </x:c>
      <x:c r="G100" s="28" t="n">
        <x:v>25.5</x:v>
      </x:c>
      <x:c r="H100" s="28" t="n">
        <x:v>-99</x:v>
      </x:c>
      <x:c r="I100" s="28" t="n">
        <x:v>0</x:v>
      </x:c>
      <x:c r="J100" s="28" t="n">
        <x:v>-99</x:v>
      </x:c>
      <x:c r="K100" s="27"/>
      <x:c r="L100" s="31" t="str">
        <x:v>ADP NOT LOADED</x:v>
      </x:c>
      <x:c r="M100" s="26" t="str">
        <x:v>Projection-only v1.0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DJ Giddens</x:v>
      </x:c>
      <x:c r="E101" s="26" t="str">
        <x:v>IND</x:v>
      </x:c>
      <x:c r="F101" s="26" t="str">
        <x:v>RB</x:v>
      </x:c>
      <x:c r="G101" s="28" t="n">
        <x:v>23.4</x:v>
      </x:c>
      <x:c r="H101" s="28" t="n">
        <x:v>-101.1</x:v>
      </x:c>
      <x:c r="I101" s="28" t="n">
        <x:v>0</x:v>
      </x:c>
      <x:c r="J101" s="28" t="n">
        <x:v>-101.1</x:v>
      </x:c>
      <x:c r="K101" s="27"/>
      <x:c r="L101" s="31" t="str">
        <x:v>ADP NOT LOADED</x:v>
      </x:c>
      <x:c r="M101" s="26" t="str">
        <x:v>Projection-only v1.0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Jam Miller</x:v>
      </x:c>
      <x:c r="E102" s="26" t="str">
        <x:v>NE</x:v>
      </x:c>
      <x:c r="F102" s="26" t="str">
        <x:v>RB</x:v>
      </x:c>
      <x:c r="G102" s="28" t="n">
        <x:v>24.3</x:v>
      </x:c>
      <x:c r="H102" s="28" t="n">
        <x:v>-100.2</x:v>
      </x:c>
      <x:c r="I102" s="28" t="n">
        <x:v>0</x:v>
      </x:c>
      <x:c r="J102" s="28" t="n">
        <x:v>-100.2</x:v>
      </x:c>
      <x:c r="K102" s="27"/>
      <x:c r="L102" s="31" t="str">
        <x:v>ADP NOT LOADED</x:v>
      </x:c>
      <x:c r="M102" s="26" t="str">
        <x:v>Projection-only v1.0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Emari Demercado</x:v>
      </x:c>
      <x:c r="E103" s="26" t="str">
        <x:v>KC</x:v>
      </x:c>
      <x:c r="F103" s="26" t="str">
        <x:v>RB</x:v>
      </x:c>
      <x:c r="G103" s="28" t="n">
        <x:v>23.1</x:v>
      </x:c>
      <x:c r="H103" s="28" t="n">
        <x:v>-101.4</x:v>
      </x:c>
      <x:c r="I103" s="28" t="n">
        <x:v>0</x:v>
      </x:c>
      <x:c r="J103" s="28" t="n">
        <x:v>-101.4</x:v>
      </x:c>
      <x:c r="K103" s="27"/>
      <x:c r="L103" s="31" t="str">
        <x:v>ADP NOT LOADED</x:v>
      </x:c>
      <x:c r="M103" s="26" t="str">
        <x:v>Projection-only v1.0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Elijah Mitchell</x:v>
      </x:c>
      <x:c r="E104" s="26" t="str">
        <x:v>PHI</x:v>
      </x:c>
      <x:c r="F104" s="26" t="str">
        <x:v>RB</x:v>
      </x:c>
      <x:c r="G104" s="28" t="n">
        <x:v>24</x:v>
      </x:c>
      <x:c r="H104" s="28" t="n">
        <x:v>-100.5</x:v>
      </x:c>
      <x:c r="I104" s="28" t="n">
        <x:v>0</x:v>
      </x:c>
      <x:c r="J104" s="28" t="n">
        <x:v>-100.5</x:v>
      </x:c>
      <x:c r="K104" s="27"/>
      <x:c r="L104" s="31" t="str">
        <x:v>ADP NOT LOADED</x:v>
      </x:c>
      <x:c r="M104" s="26" t="str">
        <x:v>Projection-only v1.0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Adam Randall</x:v>
      </x:c>
      <x:c r="E105" s="26" t="str">
        <x:v>BAL</x:v>
      </x:c>
      <x:c r="F105" s="26" t="str">
        <x:v>RB</x:v>
      </x:c>
      <x:c r="G105" s="28" t="n">
        <x:v>21.8</x:v>
      </x:c>
      <x:c r="H105" s="28" t="n">
        <x:v>-102.7</x:v>
      </x:c>
      <x:c r="I105" s="28" t="n">
        <x:v>0</x:v>
      </x:c>
      <x:c r="J105" s="28" t="n">
        <x:v>-102.7</x:v>
      </x:c>
      <x:c r="K105" s="27"/>
      <x:c r="L105" s="31" t="str">
        <x:v>ADP NOT LOADED</x:v>
      </x:c>
      <x:c r="M105" s="26" t="str">
        <x:v>Projection-only v1.0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Jaleel McLaughlin</x:v>
      </x:c>
      <x:c r="E106" s="26" t="str">
        <x:v>DEN</x:v>
      </x:c>
      <x:c r="F106" s="26" t="str">
        <x:v>RB</x:v>
      </x:c>
      <x:c r="G106" s="28" t="n">
        <x:v>19.4</x:v>
      </x:c>
      <x:c r="H106" s="28" t="n">
        <x:v>-105.1</x:v>
      </x:c>
      <x:c r="I106" s="28" t="n">
        <x:v>0</x:v>
      </x:c>
      <x:c r="J106" s="28" t="n">
        <x:v>-105.1</x:v>
      </x:c>
      <x:c r="K106" s="27"/>
      <x:c r="L106" s="31" t="str">
        <x:v>ADP NOT LOADED</x:v>
      </x:c>
      <x:c r="M106" s="26" t="str">
        <x:v>Projection-only v1.0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Jeremy McNichols</x:v>
      </x:c>
      <x:c r="E107" s="26" t="str">
        <x:v>WAS</x:v>
      </x:c>
      <x:c r="F107" s="26" t="str">
        <x:v>RB</x:v>
      </x:c>
      <x:c r="G107" s="28" t="n">
        <x:v>21.2</x:v>
      </x:c>
      <x:c r="H107" s="28" t="n">
        <x:v>-103.3</x:v>
      </x:c>
      <x:c r="I107" s="28" t="n">
        <x:v>0</x:v>
      </x:c>
      <x:c r="J107" s="28" t="n">
        <x:v>-103.3</x:v>
      </x:c>
      <x:c r="K107" s="27"/>
      <x:c r="L107" s="31" t="str">
        <x:v>ADP NOT LOADED</x:v>
      </x:c>
      <x:c r="M107" s="26" t="str">
        <x:v>Projection-only v1.0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Jerome Ford</x:v>
      </x:c>
      <x:c r="E108" s="26" t="str">
        <x:v>WAS</x:v>
      </x:c>
      <x:c r="F108" s="26" t="str">
        <x:v>RB</x:v>
      </x:c>
      <x:c r="G108" s="28" t="n">
        <x:v>21.8</x:v>
      </x:c>
      <x:c r="H108" s="28" t="n">
        <x:v>-102.7</x:v>
      </x:c>
      <x:c r="I108" s="28" t="n">
        <x:v>0</x:v>
      </x:c>
      <x:c r="J108" s="28" t="n">
        <x:v>-102.7</x:v>
      </x:c>
      <x:c r="K108" s="27"/>
      <x:c r="L108" s="31" t="str">
        <x:v>ADP NOT LOADED</x:v>
      </x:c>
      <x:c r="M108" s="26" t="str">
        <x:v>Projection-only v1.0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Brittain Brown</x:v>
      </x:c>
      <x:c r="E109" s="26" t="str">
        <x:v>CHI</x:v>
      </x:c>
      <x:c r="F109" s="26" t="str">
        <x:v>RB</x:v>
      </x:c>
      <x:c r="G109" s="28" t="n">
        <x:v>23.5</x:v>
      </x:c>
      <x:c r="H109" s="28" t="n">
        <x:v>-101</x:v>
      </x:c>
      <x:c r="I109" s="28" t="n">
        <x:v>0</x:v>
      </x:c>
      <x:c r="J109" s="28" t="n">
        <x:v>-101</x:v>
      </x:c>
      <x:c r="K109" s="27"/>
      <x:c r="L109" s="31" t="str">
        <x:v>ADP NOT LOADED</x:v>
      </x:c>
      <x:c r="M109" s="26" t="str">
        <x:v>Projection-only v1.0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Jarquez Hunter</x:v>
      </x:c>
      <x:c r="E110" s="26" t="str">
        <x:v>LAR</x:v>
      </x:c>
      <x:c r="F110" s="26" t="str">
        <x:v>RB</x:v>
      </x:c>
      <x:c r="G110" s="28" t="n">
        <x:v>22.5</x:v>
      </x:c>
      <x:c r="H110" s="28" t="n">
        <x:v>-102</x:v>
      </x:c>
      <x:c r="I110" s="28" t="n">
        <x:v>0</x:v>
      </x:c>
      <x:c r="J110" s="28" t="n">
        <x:v>-102</x:v>
      </x:c>
      <x:c r="K110" s="27"/>
      <x:c r="L110" s="31" t="str">
        <x:v>ADP NOT LOADED</x:v>
      </x:c>
      <x:c r="M110" s="26" t="str">
        <x:v>Projection-only v1.0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Salvon Ahmed</x:v>
      </x:c>
      <x:c r="E111" s="26" t="str">
        <x:v>CHI</x:v>
      </x:c>
      <x:c r="F111" s="26" t="str">
        <x:v>RB</x:v>
      </x:c>
      <x:c r="G111" s="28" t="n">
        <x:v>22.4</x:v>
      </x:c>
      <x:c r="H111" s="28" t="n">
        <x:v>-102.1</x:v>
      </x:c>
      <x:c r="I111" s="28" t="n">
        <x:v>0</x:v>
      </x:c>
      <x:c r="J111" s="28" t="n">
        <x:v>-102.1</x:v>
      </x:c>
      <x:c r="K111" s="27"/>
      <x:c r="L111" s="31" t="str">
        <x:v>ADP NOT LOADED</x:v>
      </x:c>
      <x:c r="M111" s="26" t="str">
        <x:v>Projection-only v1.0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Israel Abanikanda</x:v>
      </x:c>
      <x:c r="E112" s="26" t="str">
        <x:v>DAL</x:v>
      </x:c>
      <x:c r="F112" s="26" t="str">
        <x:v>RB</x:v>
      </x:c>
      <x:c r="G112" s="28" t="n">
        <x:v>22.3</x:v>
      </x:c>
      <x:c r="H112" s="28" t="n">
        <x:v>-102.2</x:v>
      </x:c>
      <x:c r="I112" s="28" t="n">
        <x:v>0</x:v>
      </x:c>
      <x:c r="J112" s="28" t="n">
        <x:v>-102.2</x:v>
      </x:c>
      <x:c r="K112" s="27"/>
      <x:c r="L112" s="31" t="str">
        <x:v>ADP NOT LOADED</x:v>
      </x:c>
      <x:c r="M112" s="26" t="str">
        <x:v>Projection-only v1.0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Hunter Luepke</x:v>
      </x:c>
      <x:c r="E113" s="26" t="str">
        <x:v>DAL</x:v>
      </x:c>
      <x:c r="F113" s="26" t="str">
        <x:v>RB</x:v>
      </x:c>
      <x:c r="G113" s="28" t="n">
        <x:v>18.8</x:v>
      </x:c>
      <x:c r="H113" s="28" t="n">
        <x:v>-105.7</x:v>
      </x:c>
      <x:c r="I113" s="28" t="n">
        <x:v>0</x:v>
      </x:c>
      <x:c r="J113" s="28" t="n">
        <x:v>-105.7</x:v>
      </x:c>
      <x:c r="K113" s="27"/>
      <x:c r="L113" s="31" t="str">
        <x:v>ADP NOT LOADED</x:v>
      </x:c>
      <x:c r="M113" s="26" t="str">
        <x:v>Projection-only v1.0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Trevor Etienne</x:v>
      </x:c>
      <x:c r="E114" s="26" t="str">
        <x:v>CAR</x:v>
      </x:c>
      <x:c r="F114" s="26" t="str">
        <x:v>RB</x:v>
      </x:c>
      <x:c r="G114" s="28" t="n">
        <x:v>19.5</x:v>
      </x:c>
      <x:c r="H114" s="28" t="n">
        <x:v>-105</x:v>
      </x:c>
      <x:c r="I114" s="28" t="n">
        <x:v>0</x:v>
      </x:c>
      <x:c r="J114" s="28" t="n">
        <x:v>-105</x:v>
      </x:c>
      <x:c r="K114" s="27"/>
      <x:c r="L114" s="31" t="str">
        <x:v>ADP NOT LOADED</x:v>
      </x:c>
      <x:c r="M114" s="26" t="str">
        <x:v>Projection-only v1.0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Dameon Pierce</x:v>
      </x:c>
      <x:c r="E115" s="26" t="str">
        <x:v>PHI</x:v>
      </x:c>
      <x:c r="F115" s="26" t="str">
        <x:v>RB</x:v>
      </x:c>
      <x:c r="G115" s="28" t="n">
        <x:v>22.1</x:v>
      </x:c>
      <x:c r="H115" s="28" t="n">
        <x:v>-102.4</x:v>
      </x:c>
      <x:c r="I115" s="28" t="n">
        <x:v>0</x:v>
      </x:c>
      <x:c r="J115" s="28" t="n">
        <x:v>-102.4</x:v>
      </x:c>
      <x:c r="K115" s="27"/>
      <x:c r="L115" s="31" t="str">
        <x:v>ADP NOT LOADED</x:v>
      </x:c>
      <x:c r="M115" s="26" t="str">
        <x:v>Projection-only v1.0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Isaac Guerendo</x:v>
      </x:c>
      <x:c r="E116" s="26" t="str">
        <x:v>SF</x:v>
      </x:c>
      <x:c r="F116" s="26" t="str">
        <x:v>RB</x:v>
      </x:c>
      <x:c r="G116" s="28" t="n">
        <x:v>21.1</x:v>
      </x:c>
      <x:c r="H116" s="28" t="n">
        <x:v>-103.4</x:v>
      </x:c>
      <x:c r="I116" s="28" t="n">
        <x:v>0</x:v>
      </x:c>
      <x:c r="J116" s="28" t="n">
        <x:v>-103.4</x:v>
      </x:c>
      <x:c r="K116" s="27"/>
      <x:c r="L116" s="31" t="str">
        <x:v>ADP NOT LOADED</x:v>
      </x:c>
      <x:c r="M116" s="26" t="str">
        <x:v>Projection-only v1.0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Carlos Washington Jr.</x:v>
      </x:c>
      <x:c r="E117" s="26" t="str">
        <x:v>MIA</x:v>
      </x:c>
      <x:c r="F117" s="26" t="str">
        <x:v>RB</x:v>
      </x:c>
      <x:c r="G117" s="28" t="n">
        <x:v>21.1</x:v>
      </x:c>
      <x:c r="H117" s="28" t="n">
        <x:v>-103.4</x:v>
      </x:c>
      <x:c r="I117" s="28" t="n">
        <x:v>0</x:v>
      </x:c>
      <x:c r="J117" s="28" t="n">
        <x:v>-103.4</x:v>
      </x:c>
      <x:c r="K117" s="27"/>
      <x:c r="L117" s="31" t="str">
        <x:v>ADP NOT LOADED</x:v>
      </x:c>
      <x:c r="M117" s="26" t="str">
        <x:v>Projection-only v1.0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Donovan Edwards</x:v>
      </x:c>
      <x:c r="E118" s="26" t="str">
        <x:v>MIA</x:v>
      </x:c>
      <x:c r="F118" s="26" t="str">
        <x:v>RB</x:v>
      </x:c>
      <x:c r="G118" s="28" t="n">
        <x:v>21.1</x:v>
      </x:c>
      <x:c r="H118" s="28" t="n">
        <x:v>-103.4</x:v>
      </x:c>
      <x:c r="I118" s="28" t="n">
        <x:v>0</x:v>
      </x:c>
      <x:c r="J118" s="28" t="n">
        <x:v>-103.4</x:v>
      </x:c>
      <x:c r="K118" s="27"/>
      <x:c r="L118" s="31" t="str">
        <x:v>ADP NOT LOADED</x:v>
      </x:c>
      <x:c r="M118" s="26" t="str">
        <x:v>Projection-only v1.0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Raheim Sanders</x:v>
      </x:c>
      <x:c r="E119" s="26" t="str">
        <x:v>CLE</x:v>
      </x:c>
      <x:c r="F119" s="26" t="str">
        <x:v>RB</x:v>
      </x:c>
      <x:c r="G119" s="28" t="n">
        <x:v>18.2</x:v>
      </x:c>
      <x:c r="H119" s="28" t="n">
        <x:v>-106.3</x:v>
      </x:c>
      <x:c r="I119" s="28" t="n">
        <x:v>0</x:v>
      </x:c>
      <x:c r="J119" s="28" t="n">
        <x:v>-106.3</x:v>
      </x:c>
      <x:c r="K119" s="27"/>
      <x:c r="L119" s="31" t="str">
        <x:v>ADP NOT LOADED</x:v>
      </x:c>
      <x:c r="M119" s="26" t="str">
        <x:v>Projection-only v1.0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Audric Estimé</x:v>
      </x:c>
      <x:c r="E120" s="26" t="str">
        <x:v>NO</x:v>
      </x:c>
      <x:c r="F120" s="26" t="str">
        <x:v>RB</x:v>
      </x:c>
      <x:c r="G120" s="28" t="n">
        <x:v>20.2</x:v>
      </x:c>
      <x:c r="H120" s="28" t="n">
        <x:v>-104.3</x:v>
      </x:c>
      <x:c r="I120" s="28" t="n">
        <x:v>0</x:v>
      </x:c>
      <x:c r="J120" s="28" t="n">
        <x:v>-104.3</x:v>
      </x:c>
      <x:c r="K120" s="27"/>
      <x:c r="L120" s="31" t="str">
        <x:v>ADP NOT LOADED</x:v>
      </x:c>
      <x:c r="M120" s="26" t="str">
        <x:v>Projection-only v1.0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Ronnie Rivers</x:v>
      </x:c>
      <x:c r="E121" s="26" t="str">
        <x:v>LAR</x:v>
      </x:c>
      <x:c r="F121" s="26" t="str">
        <x:v>RB</x:v>
      </x:c>
      <x:c r="G121" s="28" t="n">
        <x:v>19.2</x:v>
      </x:c>
      <x:c r="H121" s="28" t="n">
        <x:v>-105.3</x:v>
      </x:c>
      <x:c r="I121" s="28" t="n">
        <x:v>0</x:v>
      </x:c>
      <x:c r="J121" s="28" t="n">
        <x:v>-105.3</x:v>
      </x:c>
      <x:c r="K121" s="27"/>
      <x:c r="L121" s="31" t="str">
        <x:v>ADP NOT LOADED</x:v>
      </x:c>
      <x:c r="M121" s="26" t="str">
        <x:v>Projection-only v1.0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Tyler Goodson</x:v>
      </x:c>
      <x:c r="E122" s="26" t="str">
        <x:v>ATL</x:v>
      </x:c>
      <x:c r="F122" s="26" t="str">
        <x:v>RB</x:v>
      </x:c>
      <x:c r="G122" s="28" t="n">
        <x:v>19.3</x:v>
      </x:c>
      <x:c r="H122" s="28" t="n">
        <x:v>-105.2</x:v>
      </x:c>
      <x:c r="I122" s="28" t="n">
        <x:v>0</x:v>
      </x:c>
      <x:c r="J122" s="28" t="n">
        <x:v>-105.2</x:v>
      </x:c>
      <x:c r="K122" s="27"/>
      <x:c r="L122" s="31" t="str">
        <x:v>ADP NOT LOADED</x:v>
      </x:c>
      <x:c r="M122" s="26" t="str">
        <x:v>Projection-only v1.0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Connor Heyward</x:v>
      </x:c>
      <x:c r="E123" s="26" t="str">
        <x:v>LV</x:v>
      </x:c>
      <x:c r="F123" s="26" t="str">
        <x:v>RB</x:v>
      </x:c>
      <x:c r="G123" s="28" t="n">
        <x:v>16.3</x:v>
      </x:c>
      <x:c r="H123" s="28" t="n">
        <x:v>-108.2</x:v>
      </x:c>
      <x:c r="I123" s="28" t="n">
        <x:v>0</x:v>
      </x:c>
      <x:c r="J123" s="28" t="n">
        <x:v>-108.2</x:v>
      </x:c>
      <x:c r="K123" s="27"/>
      <x:c r="L123" s="31" t="str">
        <x:v>ADP NOT LOADED</x:v>
      </x:c>
      <x:c r="M123" s="26" t="str">
        <x:v>Projection-only v1.0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Pierre Strong Jr.</x:v>
      </x:c>
      <x:c r="E124" s="26" t="str">
        <x:v>GB</x:v>
      </x:c>
      <x:c r="F124" s="26" t="str">
        <x:v>RB</x:v>
      </x:c>
      <x:c r="G124" s="28" t="n">
        <x:v>19.2</x:v>
      </x:c>
      <x:c r="H124" s="28" t="n">
        <x:v>-105.3</x:v>
      </x:c>
      <x:c r="I124" s="28" t="n">
        <x:v>0</x:v>
      </x:c>
      <x:c r="J124" s="28" t="n">
        <x:v>-105.3</x:v>
      </x:c>
      <x:c r="K124" s="27"/>
      <x:c r="L124" s="31" t="str">
        <x:v>ADP NOT LOADED</x:v>
      </x:c>
      <x:c r="M124" s="26" t="str">
        <x:v>Projection-only v1.0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Will Shipley</x:v>
      </x:c>
      <x:c r="E125" s="26" t="str">
        <x:v>PHI</x:v>
      </x:c>
      <x:c r="F125" s="26" t="str">
        <x:v>RB</x:v>
      </x:c>
      <x:c r="G125" s="28" t="n">
        <x:v>16.5</x:v>
      </x:c>
      <x:c r="H125" s="28" t="n">
        <x:v>-108</x:v>
      </x:c>
      <x:c r="I125" s="28" t="n">
        <x:v>0</x:v>
      </x:c>
      <x:c r="J125" s="28" t="n">
        <x:v>-108</x:v>
      </x:c>
      <x:c r="K125" s="27"/>
      <x:c r="L125" s="31" t="str">
        <x:v>ADP NOT LOADED</x:v>
      </x:c>
      <x:c r="M125" s="26" t="str">
        <x:v>Projection-only v1.0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Tyler Badie</x:v>
      </x:c>
      <x:c r="E126" s="26" t="str">
        <x:v>DEN</x:v>
      </x:c>
      <x:c r="F126" s="26" t="str">
        <x:v>RB</x:v>
      </x:c>
      <x:c r="G126" s="28" t="n">
        <x:v>13.1</x:v>
      </x:c>
      <x:c r="H126" s="28" t="n">
        <x:v>-111.4</x:v>
      </x:c>
      <x:c r="I126" s="28" t="n">
        <x:v>0</x:v>
      </x:c>
      <x:c r="J126" s="28" t="n">
        <x:v>-111.4</x:v>
      </x:c>
      <x:c r="K126" s="27"/>
      <x:c r="L126" s="31" t="str">
        <x:v>ADP NOT LOADED</x:v>
      </x:c>
      <x:c r="M126" s="26" t="str">
        <x:v>Projection-only v1.0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Jaret Patterson</x:v>
      </x:c>
      <x:c r="E127" s="26" t="str">
        <x:v>LAC</x:v>
      </x:c>
      <x:c r="F127" s="26" t="str">
        <x:v>RB</x:v>
      </x:c>
      <x:c r="G127" s="28" t="n">
        <x:v>15.1</x:v>
      </x:c>
      <x:c r="H127" s="28" t="n">
        <x:v>-109.4</x:v>
      </x:c>
      <x:c r="I127" s="28" t="n">
        <x:v>0</x:v>
      </x:c>
      <x:c r="J127" s="28" t="n">
        <x:v>-109.4</x:v>
      </x:c>
      <x:c r="K127" s="27"/>
      <x:c r="L127" s="31" t="str">
        <x:v>ADP NOT LOADED</x:v>
      </x:c>
      <x:c r="M127" s="26" t="str">
        <x:v>Projection-only v1.0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Michael Burton</x:v>
      </x:c>
      <x:c r="E128" s="26" t="str">
        <x:v>CLE</x:v>
      </x:c>
      <x:c r="F128" s="26" t="str">
        <x:v>RB</x:v>
      </x:c>
      <x:c r="G128" s="28" t="n">
        <x:v>13.3</x:v>
      </x:c>
      <x:c r="H128" s="28" t="n">
        <x:v>-111.2</x:v>
      </x:c>
      <x:c r="I128" s="28" t="n">
        <x:v>0</x:v>
      </x:c>
      <x:c r="J128" s="28" t="n">
        <x:v>-111.2</x:v>
      </x:c>
      <x:c r="K128" s="27"/>
      <x:c r="L128" s="31" t="str">
        <x:v>ADP NOT LOADED</x:v>
      </x:c>
      <x:c r="M128" s="26" t="str">
        <x:v>Projection-only v1.0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Nathan Carter</x:v>
      </x:c>
      <x:c r="E129" s="26" t="str">
        <x:v>ATL</x:v>
      </x:c>
      <x:c r="F129" s="26" t="str">
        <x:v>RB</x:v>
      </x:c>
      <x:c r="G129" s="28" t="n">
        <x:v>14.2</x:v>
      </x:c>
      <x:c r="H129" s="28" t="n">
        <x:v>-110.3</x:v>
      </x:c>
      <x:c r="I129" s="28" t="n">
        <x:v>0</x:v>
      </x:c>
      <x:c r="J129" s="28" t="n">
        <x:v>-110.3</x:v>
      </x:c>
      <x:c r="K129" s="27"/>
      <x:c r="L129" s="31" t="str">
        <x:v>ADP NOT LOADED</x:v>
      </x:c>
      <x:c r="M129" s="26" t="str">
        <x:v>Projection-only v1.0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Alec Ingold</x:v>
      </x:c>
      <x:c r="E130" s="26" t="str">
        <x:v>LAC</x:v>
      </x:c>
      <x:c r="F130" s="26" t="str">
        <x:v>RB</x:v>
      </x:c>
      <x:c r="G130" s="28" t="n">
        <x:v>8.7</x:v>
      </x:c>
      <x:c r="H130" s="28" t="n">
        <x:v>-115.8</x:v>
      </x:c>
      <x:c r="I130" s="28" t="n">
        <x:v>0</x:v>
      </x:c>
      <x:c r="J130" s="28" t="n">
        <x:v>-115.8</x:v>
      </x:c>
      <x:c r="K130" s="27"/>
      <x:c r="L130" s="31" t="str">
        <x:v>ADP NOT LOADED</x:v>
      </x:c>
      <x:c r="M130" s="26" t="str">
        <x:v>Projection-only v1.0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Andrew Beck</x:v>
      </x:c>
      <x:c r="E131" s="26" t="str">
        <x:v>NYJ</x:v>
      </x:c>
      <x:c r="F131" s="26" t="str">
        <x:v>RB</x:v>
      </x:c>
      <x:c r="G131" s="28" t="n">
        <x:v>8.3</x:v>
      </x:c>
      <x:c r="H131" s="28" t="n">
        <x:v>-116.2</x:v>
      </x:c>
      <x:c r="I131" s="28" t="n">
        <x:v>0</x:v>
      </x:c>
      <x:c r="J131" s="28" t="n">
        <x:v>-116.2</x:v>
      </x:c>
      <x:c r="K131" s="27"/>
      <x:c r="L131" s="31" t="str">
        <x:v>ADP NOT LOADED</x:v>
      </x:c>
      <x:c r="M131" s="26" t="str">
        <x:v>Projection-only v1.0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Jamal Haynes</x:v>
      </x:c>
      <x:c r="E132" s="26" t="str">
        <x:v>CIN</x:v>
      </x:c>
      <x:c r="F132" s="26" t="str">
        <x:v>RB</x:v>
      </x:c>
      <x:c r="G132" s="28" t="n">
        <x:v>8.7</x:v>
      </x:c>
      <x:c r="H132" s="28" t="n">
        <x:v>-115.8</x:v>
      </x:c>
      <x:c r="I132" s="28" t="n">
        <x:v>0</x:v>
      </x:c>
      <x:c r="J132" s="28" t="n">
        <x:v>-115.8</x:v>
      </x:c>
      <x:c r="K132" s="27"/>
      <x:c r="L132" s="31" t="str">
        <x:v>ADP NOT LOADED</x:v>
      </x:c>
      <x:c r="M132" s="26" t="str">
        <x:v>Projection-only v1.0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Max Bredeson</x:v>
      </x:c>
      <x:c r="E133" s="26" t="str">
        <x:v>MIN</x:v>
      </x:c>
      <x:c r="F133" s="26" t="str">
        <x:v>RB</x:v>
      </x:c>
      <x:c r="G133" s="28" t="n">
        <x:v>7.5</x:v>
      </x:c>
      <x:c r="H133" s="28" t="n">
        <x:v>-117</x:v>
      </x:c>
      <x:c r="I133" s="28" t="n">
        <x:v>0</x:v>
      </x:c>
      <x:c r="J133" s="28" t="n">
        <x:v>-117</x:v>
      </x:c>
      <x:c r="K133" s="27"/>
      <x:c r="L133" s="31" t="str">
        <x:v>ADP NOT LOADED</x:v>
      </x:c>
      <x:c r="M133" s="26" t="str">
        <x:v>Projection-only v1.0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Lan Larison</x:v>
      </x:c>
      <x:c r="E134" s="26" t="str">
        <x:v>NE</x:v>
      </x:c>
      <x:c r="F134" s="26" t="str">
        <x:v>RB</x:v>
      </x:c>
      <x:c r="G134" s="28" t="n">
        <x:v>9.5</x:v>
      </x:c>
      <x:c r="H134" s="28" t="n">
        <x:v>-115</x:v>
      </x:c>
      <x:c r="I134" s="28" t="n">
        <x:v>0</x:v>
      </x:c>
      <x:c r="J134" s="28" t="n">
        <x:v>-115</x:v>
      </x:c>
      <x:c r="K134" s="27"/>
      <x:c r="L134" s="31" t="str">
        <x:v>ADP NOT LOADED</x:v>
      </x:c>
      <x:c r="M134" s="26" t="str">
        <x:v>Projection-only v1.0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Adam Prentice</x:v>
      </x:c>
      <x:c r="E135" s="26" t="str">
        <x:v>DEN</x:v>
      </x:c>
      <x:c r="F135" s="26" t="str">
        <x:v>RB</x:v>
      </x:c>
      <x:c r="G135" s="28" t="n">
        <x:v>7.6</x:v>
      </x:c>
      <x:c r="H135" s="28" t="n">
        <x:v>-116.9</x:v>
      </x:c>
      <x:c r="I135" s="28" t="n">
        <x:v>0</x:v>
      </x:c>
      <x:c r="J135" s="28" t="n">
        <x:v>-116.9</x:v>
      </x:c>
      <x:c r="K135" s="27"/>
      <x:c r="L135" s="31" t="str">
        <x:v>ADP NOT LOADED</x:v>
      </x:c>
      <x:c r="M135" s="26" t="str">
        <x:v>Projection-only v1.0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Jaydn Ott</x:v>
      </x:c>
      <x:c r="E136" s="26" t="str">
        <x:v>KC</x:v>
      </x:c>
      <x:c r="F136" s="26" t="str">
        <x:v>RB</x:v>
      </x:c>
      <x:c r="G136" s="28" t="n">
        <x:v>8.5</x:v>
      </x:c>
      <x:c r="H136" s="28" t="n">
        <x:v>-116</x:v>
      </x:c>
      <x:c r="I136" s="28" t="n">
        <x:v>0</x:v>
      </x:c>
      <x:c r="J136" s="28" t="n">
        <x:v>-116</x:v>
      </x:c>
      <x:c r="K136" s="27"/>
      <x:c r="L136" s="31" t="str">
        <x:v>ADP NOT LOADED</x:v>
      </x:c>
      <x:c r="M136" s="26" t="str">
        <x:v>Projection-only v1.0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Riley Nowakowski</x:v>
      </x:c>
      <x:c r="E137" s="26" t="str">
        <x:v>PIT</x:v>
      </x:c>
      <x:c r="F137" s="26" t="str">
        <x:v>RB</x:v>
      </x:c>
      <x:c r="G137" s="28" t="n">
        <x:v>6</x:v>
      </x:c>
      <x:c r="H137" s="28" t="n">
        <x:v>-118.5</x:v>
      </x:c>
      <x:c r="I137" s="28" t="n">
        <x:v>0</x:v>
      </x:c>
      <x:c r="J137" s="28" t="n">
        <x:v>-118.5</x:v>
      </x:c>
      <x:c r="K137" s="27"/>
      <x:c r="L137" s="31" t="str">
        <x:v>ADP NOT LOADED</x:v>
      </x:c>
      <x:c r="M137" s="26" t="str">
        <x:v>Projection-only v1.0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Dean Connors</x:v>
      </x:c>
      <x:c r="E138" s="26" t="str">
        <x:v>LAR</x:v>
      </x:c>
      <x:c r="F138" s="26" t="str">
        <x:v>RB</x:v>
      </x:c>
      <x:c r="G138" s="28" t="n">
        <x:v>7.1</x:v>
      </x:c>
      <x:c r="H138" s="28" t="n">
        <x:v>-117.4</x:v>
      </x:c>
      <x:c r="I138" s="28" t="n">
        <x:v>0</x:v>
      </x:c>
      <x:c r="J138" s="28" t="n">
        <x:v>-117.4</x:v>
      </x:c>
      <x:c r="K138" s="27"/>
      <x:c r="L138" s="31" t="str">
        <x:v>ADP NOT LOADED</x:v>
      </x:c>
      <x:c r="M138" s="26" t="str">
        <x:v>Projection-only v1.0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Damien Martinez</x:v>
      </x:c>
      <x:c r="E139" s="26" t="str">
        <x:v>GB</x:v>
      </x:c>
      <x:c r="F139" s="26" t="str">
        <x:v>RB</x:v>
      </x:c>
      <x:c r="G139" s="28" t="n">
        <x:v>6.2</x:v>
      </x:c>
      <x:c r="H139" s="28" t="n">
        <x:v>-118.3</x:v>
      </x:c>
      <x:c r="I139" s="28" t="n">
        <x:v>0</x:v>
      </x:c>
      <x:c r="J139" s="28" t="n">
        <x:v>-118.3</x:v>
      </x:c>
      <x:c r="K139" s="27"/>
      <x:c r="L139" s="31" t="str">
        <x:v>ADP NOT LOADED</x:v>
      </x:c>
      <x:c r="M139" s="26" t="str">
        <x:v>Projection-only v1.0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Reggie Gilliam</x:v>
      </x:c>
      <x:c r="E140" s="26" t="str">
        <x:v>NE</x:v>
      </x:c>
      <x:c r="F140" s="26" t="str">
        <x:v>RB</x:v>
      </x:c>
      <x:c r="G140" s="28" t="n">
        <x:v>5.1</x:v>
      </x:c>
      <x:c r="H140" s="28" t="n">
        <x:v>-119.4</x:v>
      </x:c>
      <x:c r="I140" s="28" t="n">
        <x:v>0</x:v>
      </x:c>
      <x:c r="J140" s="28" t="n">
        <x:v>-119.4</x:v>
      </x:c>
      <x:c r="K140" s="27"/>
      <x:c r="L140" s="31" t="str">
        <x:v>ADP NOT LOADED</x:v>
      </x:c>
      <x:c r="M140" s="26" t="str">
        <x:v>Projection-only v1.0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Michael Carter</x:v>
      </x:c>
      <x:c r="E141" s="26" t="str">
        <x:v>TEN</x:v>
      </x:c>
      <x:c r="F141" s="26" t="str">
        <x:v>RB</x:v>
      </x:c>
      <x:c r="G141" s="28" t="n">
        <x:v>5.8</x:v>
      </x:c>
      <x:c r="H141" s="28" t="n">
        <x:v>-118.7</x:v>
      </x:c>
      <x:c r="I141" s="28" t="n">
        <x:v>0</x:v>
      </x:c>
      <x:c r="J141" s="28" t="n">
        <x:v>-118.7</x:v>
      </x:c>
      <x:c r="K141" s="27"/>
      <x:c r="L141" s="31" t="str">
        <x:v>ADP NOT LOADED</x:v>
      </x:c>
      <x:c r="M141" s="26" t="str">
        <x:v>Projection-only v1.0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Patrick Ricard</x:v>
      </x:c>
      <x:c r="E142" s="26" t="str">
        <x:v>NYG</x:v>
      </x:c>
      <x:c r="F142" s="26" t="str">
        <x:v>RB</x:v>
      </x:c>
      <x:c r="G142" s="28" t="n">
        <x:v>3.6</x:v>
      </x:c>
      <x:c r="H142" s="28" t="n">
        <x:v>-120.9</x:v>
      </x:c>
      <x:c r="I142" s="28" t="n">
        <x:v>0</x:v>
      </x:c>
      <x:c r="J142" s="28" t="n">
        <x:v>-120.9</x:v>
      </x:c>
      <x:c r="K142" s="27"/>
      <x:c r="L142" s="31" t="str">
        <x:v>ADP NOT LOADED</x:v>
      </x:c>
      <x:c r="M142" s="26" t="str">
        <x:v>Projection-only v1.0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Kalel Mullings</x:v>
      </x:c>
      <x:c r="E143" s="26" t="str">
        <x:v>TEN</x:v>
      </x:c>
      <x:c r="F143" s="26" t="str">
        <x:v>RB</x:v>
      </x:c>
      <x:c r="G143" s="28" t="n">
        <x:v>4</x:v>
      </x:c>
      <x:c r="H143" s="28" t="n">
        <x:v>-120.5</x:v>
      </x:c>
      <x:c r="I143" s="28" t="n">
        <x:v>0</x:v>
      </x:c>
      <x:c r="J143" s="28" t="n">
        <x:v>-120.5</x:v>
      </x:c>
      <x:c r="K143" s="27"/>
      <x:c r="L143" s="31" t="str">
        <x:v>ADP NOT LOADED</x:v>
      </x:c>
      <x:c r="M143" s="26" t="str">
        <x:v>Projection-only v1.0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Ameer Abdullah</x:v>
      </x:c>
      <x:c r="E144" s="26" t="str">
        <x:v>JAX</x:v>
      </x:c>
      <x:c r="F144" s="26" t="str">
        <x:v>RB</x:v>
      </x:c>
      <x:c r="G144" s="28" t="n">
        <x:v>3.8</x:v>
      </x:c>
      <x:c r="H144" s="28" t="n">
        <x:v>-120.7</x:v>
      </x:c>
      <x:c r="I144" s="28" t="n">
        <x:v>0</x:v>
      </x:c>
      <x:c r="J144" s="28" t="n">
        <x:v>-120.7</x:v>
      </x:c>
      <x:c r="K144" s="27"/>
      <x:c r="L144" s="31" t="str">
        <x:v>ADP NOT LOADED</x:v>
      </x:c>
      <x:c r="M144" s="26" t="str">
        <x:v>Projection-only v1.0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Jacardia Wright</x:v>
      </x:c>
      <x:c r="E145" s="26" t="str">
        <x:v>SEA</x:v>
      </x:c>
      <x:c r="F145" s="26" t="str">
        <x:v>RB</x:v>
      </x:c>
      <x:c r="G145" s="28" t="n">
        <x:v>3</x:v>
      </x:c>
      <x:c r="H145" s="28" t="n">
        <x:v>-121.5</x:v>
      </x:c>
      <x:c r="I145" s="28" t="n">
        <x:v>0</x:v>
      </x:c>
      <x:c r="J145" s="28" t="n">
        <x:v>-121.5</x:v>
      </x:c>
      <x:c r="K145" s="27"/>
      <x:c r="L145" s="31" t="str">
        <x:v>ADP NOT LOADED</x:v>
      </x:c>
      <x:c r="M145" s="26" t="str">
        <x:v>Projection-only v1.0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Julius Chestnut</x:v>
      </x:c>
      <x:c r="E146" s="26" t="str">
        <x:v>TEN</x:v>
      </x:c>
      <x:c r="F146" s="26" t="str">
        <x:v>RB</x:v>
      </x:c>
      <x:c r="G146" s="28" t="n">
        <x:v>3</x:v>
      </x:c>
      <x:c r="H146" s="28" t="n">
        <x:v>-121.5</x:v>
      </x:c>
      <x:c r="I146" s="28" t="n">
        <x:v>0</x:v>
      </x:c>
      <x:c r="J146" s="28" t="n">
        <x:v>-121.5</x:v>
      </x:c>
      <x:c r="K146" s="27"/>
      <x:c r="L146" s="31" t="str">
        <x:v>ADP NOT LOADED</x:v>
      </x:c>
      <x:c r="M146" s="26" t="str">
        <x:v>Projection-only v1.0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Sione Vaki</x:v>
      </x:c>
      <x:c r="E147" s="26" t="str">
        <x:v>DET</x:v>
      </x:c>
      <x:c r="F147" s="26" t="str">
        <x:v>RB</x:v>
      </x:c>
      <x:c r="G147" s="28" t="n">
        <x:v>2.2</x:v>
      </x:c>
      <x:c r="H147" s="28" t="n">
        <x:v>-122.3</x:v>
      </x:c>
      <x:c r="I147" s="28" t="n">
        <x:v>0</x:v>
      </x:c>
      <x:c r="J147" s="28" t="n">
        <x:v>-122.3</x:v>
      </x:c>
      <x:c r="K147" s="27"/>
      <x:c r="L147" s="31" t="str">
        <x:v>ADP NOT LOADED</x:v>
      </x:c>
      <x:c r="M147" s="26" t="str">
        <x:v>Projection-only v1.0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British Brooks</x:v>
      </x:c>
      <x:c r="E148" s="26" t="str">
        <x:v>HOU</x:v>
      </x:c>
      <x:c r="F148" s="26" t="str">
        <x:v>RB</x:v>
      </x:c>
      <x:c r="G148" s="28" t="n">
        <x:v>2.4</x:v>
      </x:c>
      <x:c r="H148" s="28" t="n">
        <x:v>-122.1</x:v>
      </x:c>
      <x:c r="I148" s="28" t="n">
        <x:v>0</x:v>
      </x:c>
      <x:c r="J148" s="28" t="n">
        <x:v>-122.1</x:v>
      </x:c>
      <x:c r="K148" s="27"/>
      <x:c r="L148" s="31" t="str">
        <x:v>ADP NOT LOADED</x:v>
      </x:c>
      <x:c r="M148" s="26" t="str">
        <x:v>Projection-only v1.0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Bam Knight</x:v>
      </x:c>
      <x:c r="E149" s="26" t="str">
        <x:v>ARI</x:v>
      </x:c>
      <x:c r="F149" s="26" t="str">
        <x:v>RB</x:v>
      </x:c>
      <x:c r="G149" s="28" t="n">
        <x:v>0</x:v>
      </x:c>
      <x:c r="H149" s="28" t="n">
        <x:v>-124.5</x:v>
      </x:c>
      <x:c r="I149" s="28" t="n">
        <x:v>0</x:v>
      </x:c>
      <x:c r="J149" s="28" t="n">
        <x:v>-124.5</x:v>
      </x:c>
      <x:c r="K149" s="27"/>
      <x:c r="L149" s="31" t="str">
        <x:v>ADP NOT LOADED</x:v>
      </x:c>
      <x:c r="M149" s="26" t="str">
        <x:v>Projection-only v1.0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Brady Russell</x:v>
      </x:c>
      <x:c r="E150" s="26" t="str">
        <x:v>SEA</x:v>
      </x:c>
      <x:c r="F150" s="26" t="str">
        <x:v>RB</x:v>
      </x:c>
      <x:c r="G150" s="28" t="n">
        <x:v>0</x:v>
      </x:c>
      <x:c r="H150" s="28" t="n">
        <x:v>-124.5</x:v>
      </x:c>
      <x:c r="I150" s="28" t="n">
        <x:v>0</x:v>
      </x:c>
      <x:c r="J150" s="28" t="n">
        <x:v>-124.5</x:v>
      </x:c>
      <x:c r="K150" s="27"/>
      <x:c r="L150" s="31" t="str">
        <x:v>ADP NOT LOADED</x:v>
      </x:c>
      <x:c r="M150" s="26" t="str">
        <x:v>Projection-only v1.0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Carson Steele</x:v>
      </x:c>
      <x:c r="E151" s="26" t="str">
        <x:v>PHI</x:v>
      </x:c>
      <x:c r="F151" s="26" t="str">
        <x:v>RB</x:v>
      </x:c>
      <x:c r="G151" s="28" t="n">
        <x:v>0</x:v>
      </x:c>
      <x:c r="H151" s="28" t="n">
        <x:v>-124.5</x:v>
      </x:c>
      <x:c r="I151" s="28" t="n">
        <x:v>0</x:v>
      </x:c>
      <x:c r="J151" s="28" t="n">
        <x:v>-124.5</x:v>
      </x:c>
      <x:c r="K151" s="27"/>
      <x:c r="L151" s="31" t="str">
        <x:v>ADP NOT LOADED</x:v>
      </x:c>
      <x:c r="M151" s="26" t="str">
        <x:v>Projection-only v1.0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Chip Trayanum</x:v>
      </x:c>
      <x:c r="E152" s="26" t="str">
        <x:v>NYJ</x:v>
      </x:c>
      <x:c r="F152" s="26" t="str">
        <x:v>RB</x:v>
      </x:c>
      <x:c r="G152" s="28" t="n">
        <x:v>0</x:v>
      </x:c>
      <x:c r="H152" s="28" t="n">
        <x:v>-124.5</x:v>
      </x:c>
      <x:c r="I152" s="28" t="n">
        <x:v>0</x:v>
      </x:c>
      <x:c r="J152" s="28" t="n">
        <x:v>-124.5</x:v>
      </x:c>
      <x:c r="K152" s="27"/>
      <x:c r="L152" s="31" t="str">
        <x:v>ADP NOT LOADED</x:v>
      </x:c>
      <x:c r="M152" s="26" t="str">
        <x:v>Projection-only v1.0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Cody Schrader</x:v>
      </x:c>
      <x:c r="E153" s="26" t="str">
        <x:v>DEN</x:v>
      </x:c>
      <x:c r="F153" s="26" t="str">
        <x:v>RB</x:v>
      </x:c>
      <x:c r="G153" s="28" t="n">
        <x:v>0</x:v>
      </x:c>
      <x:c r="H153" s="28" t="n">
        <x:v>-124.5</x:v>
      </x:c>
      <x:c r="I153" s="28" t="n">
        <x:v>0</x:v>
      </x:c>
      <x:c r="J153" s="28" t="n">
        <x:v>-124.5</x:v>
      </x:c>
      <x:c r="K153" s="27"/>
      <x:c r="L153" s="31" t="str">
        <x:v>ADP NOT LOADED</x:v>
      </x:c>
      <x:c r="M153" s="26" t="str">
        <x:v>Projection-only v1.0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Corey Kiner</x:v>
      </x:c>
      <x:c r="E154" s="26" t="str">
        <x:v>ARI</x:v>
      </x:c>
      <x:c r="F154" s="26" t="str">
        <x:v>RB</x:v>
      </x:c>
      <x:c r="G154" s="28" t="n">
        <x:v>0</x:v>
      </x:c>
      <x:c r="H154" s="28" t="n">
        <x:v>-124.5</x:v>
      </x:c>
      <x:c r="I154" s="28" t="n">
        <x:v>0</x:v>
      </x:c>
      <x:c r="J154" s="28" t="n">
        <x:v>-124.5</x:v>
      </x:c>
      <x:c r="K154" s="27"/>
      <x:c r="L154" s="31" t="str">
        <x:v>ADP NOT LOADED</x:v>
      </x:c>
      <x:c r="M154" s="26" t="str">
        <x:v>Projection-only v1.0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Dare Ogunbowale</x:v>
      </x:c>
      <x:c r="E155" s="26" t="str">
        <x:v>LV</x:v>
      </x:c>
      <x:c r="F155" s="26" t="str">
        <x:v>RB</x:v>
      </x:c>
      <x:c r="G155" s="28" t="n">
        <x:v>0</x:v>
      </x:c>
      <x:c r="H155" s="28" t="n">
        <x:v>-124.5</x:v>
      </x:c>
      <x:c r="I155" s="28" t="n">
        <x:v>0</x:v>
      </x:c>
      <x:c r="J155" s="28" t="n">
        <x:v>-124.5</x:v>
      </x:c>
      <x:c r="K155" s="27"/>
      <x:c r="L155" s="31" t="str">
        <x:v>ADP NOT LOADED</x:v>
      </x:c>
      <x:c r="M155" s="26" t="str">
        <x:v>Projection-only v1.0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DeeJay Dallas</x:v>
      </x:c>
      <x:c r="E156" s="26" t="str">
        <x:v>JAX</x:v>
      </x:c>
      <x:c r="F156" s="26" t="str">
        <x:v>RB</x:v>
      </x:c>
      <x:c r="G156" s="28" t="n">
        <x:v>0</x:v>
      </x:c>
      <x:c r="H156" s="28" t="n">
        <x:v>-124.5</x:v>
      </x:c>
      <x:c r="I156" s="28" t="n">
        <x:v>0</x:v>
      </x:c>
      <x:c r="J156" s="28" t="n">
        <x:v>-124.5</x:v>
      </x:c>
      <x:c r="K156" s="27"/>
      <x:c r="L156" s="31" t="str">
        <x:v>ADP NOT LOADED</x:v>
      </x:c>
      <x:c r="M156" s="26" t="str">
        <x:v>Projection-only v1.0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Dylan Laube</x:v>
      </x:c>
      <x:c r="E157" s="26" t="str">
        <x:v>LV</x:v>
      </x:c>
      <x:c r="F157" s="26" t="str">
        <x:v>RB</x:v>
      </x:c>
      <x:c r="G157" s="28" t="n">
        <x:v>0</x:v>
      </x:c>
      <x:c r="H157" s="28" t="n">
        <x:v>-124.5</x:v>
      </x:c>
      <x:c r="I157" s="28" t="n">
        <x:v>0</x:v>
      </x:c>
      <x:c r="J157" s="28" t="n">
        <x:v>-124.5</x:v>
      </x:c>
      <x:c r="K157" s="27"/>
      <x:c r="L157" s="31" t="str">
        <x:v>ADP NOT LOADED</x:v>
      </x:c>
      <x:c r="M157" s="26" t="str">
        <x:v>Projection-only v1.0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Eric Gray</x:v>
      </x:c>
      <x:c r="E158" s="26" t="str">
        <x:v>NYG</x:v>
      </x:c>
      <x:c r="F158" s="26" t="str">
        <x:v>RB</x:v>
      </x:c>
      <x:c r="G158" s="28" t="n">
        <x:v>0</x:v>
      </x:c>
      <x:c r="H158" s="28" t="n">
        <x:v>-124.5</x:v>
      </x:c>
      <x:c r="I158" s="28" t="n">
        <x:v>0</x:v>
      </x:c>
      <x:c r="J158" s="28" t="n">
        <x:v>-124.5</x:v>
      </x:c>
      <x:c r="K158" s="27"/>
      <x:c r="L158" s="31" t="str">
        <x:v>ADP NOT LOADED</x:v>
      </x:c>
      <x:c r="M158" s="26" t="str">
        <x:v>Projection-only v1.0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Gary Brightwell</x:v>
      </x:c>
      <x:c r="E159" s="26" t="str">
        <x:v>CIN</x:v>
      </x:c>
      <x:c r="F159" s="26" t="str">
        <x:v>RB</x:v>
      </x:c>
      <x:c r="G159" s="28" t="n">
        <x:v>0</x:v>
      </x:c>
      <x:c r="H159" s="28" t="n">
        <x:v>-124.5</x:v>
      </x:c>
      <x:c r="I159" s="28" t="n">
        <x:v>0</x:v>
      </x:c>
      <x:c r="J159" s="28" t="n">
        <x:v>-124.5</x:v>
      </x:c>
      <x:c r="K159" s="27"/>
      <x:c r="L159" s="31" t="str">
        <x:v>ADP NOT LOADED</x:v>
      </x:c>
      <x:c r="M159" s="26" t="str">
        <x:v>Projection-only v1.0</x:v>
      </x:c>
    </x:row>
    <x:row r="160">
      <x:c r="A160" s="26" t="n">
        <x:v>156</x:v>
      </x:c>
      <x:c r="B160" s="26" t="n">
        <x:v>5</x:v>
      </x:c>
      <x:c r="C160" s="26" t="n">
        <x:v>156</x:v>
      </x:c>
      <x:c r="D160" s="26" t="str">
        <x:v>Jacob Saylors</x:v>
      </x:c>
      <x:c r="E160" s="26" t="str">
        <x:v>DET</x:v>
      </x:c>
      <x:c r="F160" s="26" t="str">
        <x:v>RB</x:v>
      </x:c>
      <x:c r="G160" s="28" t="n">
        <x:v>0</x:v>
      </x:c>
      <x:c r="H160" s="28" t="n">
        <x:v>-124.5</x:v>
      </x:c>
      <x:c r="I160" s="28" t="n">
        <x:v>0</x:v>
      </x:c>
      <x:c r="J160" s="28" t="n">
        <x:v>-124.5</x:v>
      </x:c>
      <x:c r="K160" s="27"/>
      <x:c r="L160" s="31" t="str">
        <x:v>ADP NOT LOADED</x:v>
      </x:c>
      <x:c r="M160" s="26" t="str">
        <x:v>Projection-only v1.0</x:v>
      </x:c>
    </x:row>
    <x:row r="161">
      <x:c r="A161" s="26" t="n">
        <x:v>157</x:v>
      </x:c>
      <x:c r="B161" s="26" t="n">
        <x:v>5</x:v>
      </x:c>
      <x:c r="C161" s="26" t="n">
        <x:v>157</x:v>
      </x:c>
      <x:c r="D161" s="26" t="str">
        <x:v>Josh Williams</x:v>
      </x:c>
      <x:c r="E161" s="26" t="str">
        <x:v>TB</x:v>
      </x:c>
      <x:c r="F161" s="26" t="str">
        <x:v>RB</x:v>
      </x:c>
      <x:c r="G161" s="28" t="n">
        <x:v>0</x:v>
      </x:c>
      <x:c r="H161" s="28" t="n">
        <x:v>-124.5</x:v>
      </x:c>
      <x:c r="I161" s="28" t="n">
        <x:v>0</x:v>
      </x:c>
      <x:c r="J161" s="28" t="n">
        <x:v>-124.5</x:v>
      </x:c>
      <x:c r="K161" s="27"/>
      <x:c r="L161" s="31" t="str">
        <x:v>ADP NOT LOADED</x:v>
      </x:c>
      <x:c r="M161" s="26" t="str">
        <x:v>Projection-only v1.0</x:v>
      </x:c>
    </x:row>
    <x:row r="162">
      <x:c r="A162" s="26" t="n">
        <x:v>158</x:v>
      </x:c>
      <x:c r="B162" s="26" t="n">
        <x:v>5</x:v>
      </x:c>
      <x:c r="C162" s="26" t="n">
        <x:v>158</x:v>
      </x:c>
      <x:c r="D162" s="26" t="str">
        <x:v>Kene Nwangwu</x:v>
      </x:c>
      <x:c r="E162" s="26" t="str">
        <x:v>NYJ</x:v>
      </x:c>
      <x:c r="F162" s="26" t="str">
        <x:v>RB</x:v>
      </x:c>
      <x:c r="G162" s="28" t="n">
        <x:v>0</x:v>
      </x:c>
      <x:c r="H162" s="28" t="n">
        <x:v>-124.5</x:v>
      </x:c>
      <x:c r="I162" s="28" t="n">
        <x:v>0</x:v>
      </x:c>
      <x:c r="J162" s="28" t="n">
        <x:v>-124.5</x:v>
      </x:c>
      <x:c r="K162" s="27"/>
      <x:c r="L162" s="31" t="str">
        <x:v>ADP NOT LOADED</x:v>
      </x:c>
      <x:c r="M162" s="26" t="str">
        <x:v>Projection-only v1.0</x:v>
      </x:c>
    </x:row>
    <x:row r="163">
      <x:c r="A163" s="26" t="n">
        <x:v>159</x:v>
      </x:c>
      <x:c r="B163" s="26" t="n">
        <x:v>5</x:v>
      </x:c>
      <x:c r="C163" s="26" t="n">
        <x:v>159</x:v>
      </x:c>
      <x:c r="D163" s="26" t="str">
        <x:v>Khalil Herbert</x:v>
      </x:c>
      <x:c r="E163" s="26" t="str">
        <x:v>SF</x:v>
      </x:c>
      <x:c r="F163" s="26" t="str">
        <x:v>RB</x:v>
      </x:c>
      <x:c r="G163" s="28" t="n">
        <x:v>0</x:v>
      </x:c>
      <x:c r="H163" s="28" t="n">
        <x:v>-124.5</x:v>
      </x:c>
      <x:c r="I163" s="28" t="n">
        <x:v>0</x:v>
      </x:c>
      <x:c r="J163" s="28" t="n">
        <x:v>-124.5</x:v>
      </x:c>
      <x:c r="K163" s="27"/>
      <x:c r="L163" s="31" t="str">
        <x:v>ADP NOT LOADED</x:v>
      </x:c>
      <x:c r="M163" s="26" t="str">
        <x:v>Projection-only v1.0</x:v>
      </x:c>
    </x:row>
    <x:row r="164">
      <x:c r="A164" s="26" t="n">
        <x:v>160</x:v>
      </x:c>
      <x:c r="B164" s="26" t="n">
        <x:v>5</x:v>
      </x:c>
      <x:c r="C164" s="26" t="n">
        <x:v>160</x:v>
      </x:c>
      <x:c r="D164" s="26" t="str">
        <x:v>Noah Whittington</x:v>
      </x:c>
      <x:c r="E164" s="26" t="str">
        <x:v>HOU</x:v>
      </x:c>
      <x:c r="F164" s="26" t="str">
        <x:v>RB</x:v>
      </x:c>
      <x:c r="G164" s="28" t="n">
        <x:v>0</x:v>
      </x:c>
      <x:c r="H164" s="28" t="n">
        <x:v>-124.5</x:v>
      </x:c>
      <x:c r="I164" s="28" t="n">
        <x:v>0</x:v>
      </x:c>
      <x:c r="J164" s="28" t="n">
        <x:v>-124.5</x:v>
      </x:c>
      <x:c r="K164" s="27"/>
      <x:c r="L164" s="31" t="str">
        <x:v>ADP NOT LOADED</x:v>
      </x:c>
      <x:c r="M164" s="26" t="str">
        <x:v>Projection-only v1.0</x:v>
      </x:c>
    </x:row>
    <x:row r="165">
      <x:c r="A165" s="26" t="n">
        <x:v>161</x:v>
      </x:c>
      <x:c r="B165" s="26" t="n">
        <x:v>5</x:v>
      </x:c>
      <x:c r="C165" s="26" t="n">
        <x:v>161</x:v>
      </x:c>
      <x:c r="D165" s="26" t="str">
        <x:v>Patrick Taylor Jr.</x:v>
      </x:c>
      <x:c r="E165" s="26" t="str">
        <x:v>SF</x:v>
      </x:c>
      <x:c r="F165" s="26" t="str">
        <x:v>RB</x:v>
      </x:c>
      <x:c r="G165" s="28" t="n">
        <x:v>0</x:v>
      </x:c>
      <x:c r="H165" s="28" t="n">
        <x:v>-124.5</x:v>
      </x:c>
      <x:c r="I165" s="28" t="n">
        <x:v>0</x:v>
      </x:c>
      <x:c r="J165" s="28" t="n">
        <x:v>-124.5</x:v>
      </x:c>
      <x:c r="K165" s="27"/>
      <x:c r="L165" s="31" t="str">
        <x:v>ADP NOT LOADED</x:v>
      </x:c>
      <x:c r="M165" s="26" t="str">
        <x:v>Projection-only v1.0</x:v>
      </x:c>
    </x:row>
    <x:row r="166">
      <x:c r="A166" s="26" t="n">
        <x:v>162</x:v>
      </x:c>
      <x:c r="B166" s="26" t="n">
        <x:v>5</x:v>
      </x:c>
      <x:c r="C166" s="26" t="n">
        <x:v>162</x:v>
      </x:c>
      <x:c r="D166" s="26" t="str">
        <x:v>Rasheen Ali</x:v>
      </x:c>
      <x:c r="E166" s="26" t="str">
        <x:v>BAL</x:v>
      </x:c>
      <x:c r="F166" s="26" t="str">
        <x:v>RB</x:v>
      </x:c>
      <x:c r="G166" s="28" t="n">
        <x:v>0</x:v>
      </x:c>
      <x:c r="H166" s="28" t="n">
        <x:v>-124.5</x:v>
      </x:c>
      <x:c r="I166" s="28" t="n">
        <x:v>0</x:v>
      </x:c>
      <x:c r="J166" s="28" t="n">
        <x:v>-124.5</x:v>
      </x:c>
      <x:c r="K166" s="27"/>
      <x:c r="L166" s="31" t="str">
        <x:v>ADP NOT LOADED</x:v>
      </x:c>
      <x:c r="M166" s="26" t="str">
        <x:v>Projection-only v1.0</x:v>
      </x:c>
    </x:row>
    <x:row r="167">
      <x:c r="A167" s="26" t="n">
        <x:v>163</x:v>
      </x:c>
      <x:c r="B167" s="26" t="n">
        <x:v>5</x:v>
      </x:c>
      <x:c r="C167" s="26" t="n">
        <x:v>163</x:v>
      </x:c>
      <x:c r="D167" s="26" t="str">
        <x:v>Robbie Ouzts</x:v>
      </x:c>
      <x:c r="E167" s="26" t="str">
        <x:v>SEA</x:v>
      </x:c>
      <x:c r="F167" s="26" t="str">
        <x:v>RB</x:v>
      </x:c>
      <x:c r="G167" s="28" t="n">
        <x:v>0</x:v>
      </x:c>
      <x:c r="H167" s="28" t="n">
        <x:v>-124.5</x:v>
      </x:c>
      <x:c r="I167" s="28" t="n">
        <x:v>0</x:v>
      </x:c>
      <x:c r="J167" s="28" t="n">
        <x:v>-124.5</x:v>
      </x:c>
      <x:c r="K167" s="27"/>
      <x:c r="L167" s="31" t="str">
        <x:v>ADP NOT LOADED</x:v>
      </x:c>
      <x:c r="M167" s="26" t="str">
        <x:v>Projection-only v1.0</x:v>
      </x:c>
    </x:row>
    <x:row r="168">
      <x:c r="A168" s="26" t="n">
        <x:v>164</x:v>
      </x:c>
      <x:c r="B168" s="26" t="n">
        <x:v>5</x:v>
      </x:c>
      <x:c r="C168" s="26" t="n">
        <x:v>164</x:v>
      </x:c>
      <x:c r="D168" s="26" t="str">
        <x:v>Sincere McCormick</x:v>
      </x:c>
      <x:c r="E168" s="26" t="str">
        <x:v>SF</x:v>
      </x:c>
      <x:c r="F168" s="26" t="str">
        <x:v>RB</x:v>
      </x:c>
      <x:c r="G168" s="28" t="n">
        <x:v>0</x:v>
      </x:c>
      <x:c r="H168" s="28" t="n">
        <x:v>-124.5</x:v>
      </x:c>
      <x:c r="I168" s="28" t="n">
        <x:v>0</x:v>
      </x:c>
      <x:c r="J168" s="28" t="n">
        <x:v>-124.5</x:v>
      </x:c>
      <x:c r="K168" s="27"/>
      <x:c r="L168" s="31" t="str">
        <x:v>ADP NOT LOADED</x:v>
      </x:c>
      <x:c r="M168" s="26" t="str">
        <x:v>Projection-only v1.0</x:v>
      </x:c>
    </x:row>
    <x:row r="169">
      <x:c r="A169" s="26" t="n">
        <x:v>165</x:v>
      </x:c>
      <x:c r="B169" s="26" t="n">
        <x:v>5</x:v>
      </x:c>
      <x:c r="C169" s="26" t="n">
        <x:v>165</x:v>
      </x:c>
      <x:c r="D169" s="26" t="str">
        <x:v>Travis Homer</x:v>
      </x:c>
      <x:c r="E169" s="26" t="str">
        <x:v>PIT</x:v>
      </x:c>
      <x:c r="F169" s="26" t="str">
        <x:v>RB</x:v>
      </x:c>
      <x:c r="G169" s="28" t="n">
        <x:v>0</x:v>
      </x:c>
      <x:c r="H169" s="28" t="n">
        <x:v>-124.5</x:v>
      </x:c>
      <x:c r="I169" s="28" t="n">
        <x:v>0</x:v>
      </x:c>
      <x:c r="J169" s="28" t="n">
        <x:v>-124.5</x:v>
      </x:c>
      <x:c r="K169" s="27"/>
      <x:c r="L169" s="31" t="str">
        <x:v>ADP NOT LOADED</x:v>
      </x:c>
      <x:c r="M169" s="26" t="str">
        <x:v>Projection-only v1.0</x:v>
      </x:c>
    </x:row>
    <x:row r="170">
      <x:c r="A170" s="26" t="n">
        <x:v>166</x:v>
      </x:c>
      <x:c r="B170" s="26" t="n">
        <x:v>5</x:v>
      </x:c>
      <x:c r="C170" s="26" t="n">
        <x:v>166</x:v>
      </x:c>
      <x:c r="D170" s="26" t="str">
        <x:v>Trey Benson</x:v>
      </x:c>
      <x:c r="E170" s="26" t="str">
        <x:v>ARI</x:v>
      </x:c>
      <x:c r="F170" s="26" t="str">
        <x:v>RB</x:v>
      </x:c>
      <x:c r="G170" s="28" t="n">
        <x:v>0</x:v>
      </x:c>
      <x:c r="H170" s="28" t="n">
        <x:v>-124.5</x:v>
      </x:c>
      <x:c r="I170" s="28" t="n">
        <x:v>0</x:v>
      </x:c>
      <x:c r="J170" s="28" t="n">
        <x:v>-124.5</x:v>
      </x:c>
      <x:c r="K170" s="27"/>
      <x:c r="L170" s="31" t="str">
        <x:v>ADP NOT LOADED</x:v>
      </x:c>
      <x:c r="M170" s="26" t="str">
        <x:v>Projection-only v1.0</x:v>
      </x:c>
    </x:row>
    <x:row r="171">
      <x:c r="A171" s="26" t="n">
        <x:v>167</x:v>
      </x:c>
      <x:c r="B171" s="26" t="n">
        <x:v>5</x:v>
      </x:c>
      <x:c r="C171" s="26" t="n">
        <x:v>167</x:v>
      </x:c>
      <x:c r="D171" s="26" t="str">
        <x:v>Velus Jones Jr.</x:v>
      </x:c>
      <x:c r="E171" s="26" t="str">
        <x:v>SEA</x:v>
      </x:c>
      <x:c r="F171" s="26" t="str">
        <x:v>RB</x:v>
      </x:c>
      <x:c r="G171" s="28" t="n">
        <x:v>0</x:v>
      </x:c>
      <x:c r="H171" s="28" t="n">
        <x:v>-124.5</x:v>
      </x:c>
      <x:c r="I171" s="28" t="n">
        <x:v>0</x:v>
      </x:c>
      <x:c r="J171" s="28" t="n">
        <x:v>-124.5</x:v>
      </x:c>
      <x:c r="K171" s="27"/>
      <x:c r="L171" s="31" t="str">
        <x:v>ADP NOT LOADED</x:v>
      </x:c>
      <x:c r="M171" s="26" t="str">
        <x:v>Projection-only v1.0</x:v>
      </x:c>
    </x:row>
    <x:row r="172">
      <x:c r="A172" s="26" t="n">
        <x:v>168</x:v>
      </x:c>
      <x:c r="B172" s="26" t="n">
        <x:v>5</x:v>
      </x:c>
      <x:c r="C172" s="26" t="n">
        <x:v>168</x:v>
      </x:c>
      <x:c r="D172" s="26" t="str">
        <x:v>Zavier Scott</x:v>
      </x:c>
      <x:c r="E172" s="26" t="str">
        <x:v>MIN</x:v>
      </x:c>
      <x:c r="F172" s="26" t="str">
        <x:v>RB</x:v>
      </x:c>
      <x:c r="G172" s="28" t="n">
        <x:v>0</x:v>
      </x:c>
      <x:c r="H172" s="28" t="n">
        <x:v>-124.5</x:v>
      </x:c>
      <x:c r="I172" s="28" t="n">
        <x:v>0</x:v>
      </x:c>
      <x:c r="J172" s="28" t="n">
        <x:v>-124.5</x:v>
      </x:c>
      <x:c r="K172" s="27"/>
      <x:c r="L172" s="31" t="str">
        <x:v>ADP NOT LOADED</x:v>
      </x:c>
      <x:c r="M172" s="26" t="str">
        <x:v>Projection-only v1.0</x:v>
      </x:c>
    </x:row>
  </x:sheetData>
  <x:mergeCells>
    <x:mergeCell ref="A1:M1"/>
    <x:mergeCell ref="A2:M2"/>
  </x:mergeCells>
  <x:conditionalFormatting sqref="B5:B172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25" hidden="0" customWidth="1"/>
  </x:cols>
  <x:sheetData>
    <x:row r="1" ht="34" customHeight="1">
      <x:c r="A1" s="3" t="str">
        <x:v>WR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WR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Puka Nacua</x:v>
      </x:c>
      <x:c r="E5" s="26" t="str">
        <x:v>LAR</x:v>
      </x:c>
      <x:c r="F5" s="26" t="str">
        <x:v>WR</x:v>
      </x:c>
      <x:c r="G5" s="28" t="n">
        <x:v>283.4</x:v>
      </x:c>
      <x:c r="H5" s="28" t="n">
        <x:v>172.79999999999998</x:v>
      </x:c>
      <x:c r="I5" s="28" t="n">
        <x:v>0</x:v>
      </x:c>
      <x:c r="J5" s="28" t="n">
        <x:v>172.79999999999998</x:v>
      </x:c>
      <x:c r="K5" s="27"/>
      <x:c r="L5" s="31" t="str">
        <x:v>ADP NOT LOADED</x:v>
      </x:c>
      <x:c r="M5" s="26" t="str">
        <x:v>Projection-only v1.0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Ja'Marr Chase</x:v>
      </x:c>
      <x:c r="E6" s="26" t="str">
        <x:v>CIN</x:v>
      </x:c>
      <x:c r="F6" s="26" t="str">
        <x:v>WR</x:v>
      </x:c>
      <x:c r="G6" s="28" t="n">
        <x:v>279.4</x:v>
      </x:c>
      <x:c r="H6" s="28" t="n">
        <x:v>168.79999999999998</x:v>
      </x:c>
      <x:c r="I6" s="28" t="n">
        <x:v>0</x:v>
      </x:c>
      <x:c r="J6" s="28" t="n">
        <x:v>168.79999999999998</x:v>
      </x:c>
      <x:c r="K6" s="27"/>
      <x:c r="L6" s="31" t="str">
        <x:v>ADP NOT LOADED</x:v>
      </x:c>
      <x:c r="M6" s="26" t="str">
        <x:v>Projection-only v1.0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Jaxon Smith-Njigba</x:v>
      </x:c>
      <x:c r="E7" s="26" t="str">
        <x:v>SEA</x:v>
      </x:c>
      <x:c r="F7" s="26" t="str">
        <x:v>WR</x:v>
      </x:c>
      <x:c r="G7" s="28" t="n">
        <x:v>263.7</x:v>
      </x:c>
      <x:c r="H7" s="28" t="n">
        <x:v>153.1</x:v>
      </x:c>
      <x:c r="I7" s="28" t="n">
        <x:v>0</x:v>
      </x:c>
      <x:c r="J7" s="28" t="n">
        <x:v>153.1</x:v>
      </x:c>
      <x:c r="K7" s="27"/>
      <x:c r="L7" s="31" t="str">
        <x:v>ADP NOT LOADED</x:v>
      </x:c>
      <x:c r="M7" s="26" t="str">
        <x:v>Projection-only v1.0</x:v>
      </x:c>
    </x:row>
    <x:row r="8">
      <x:c r="A8" s="33" t="n">
        <x:v>4</x:v>
      </x:c>
      <x:c r="B8" s="26" t="n">
        <x:v>1</x:v>
      </x:c>
      <x:c r="C8" s="26" t="n">
        <x:v>4</x:v>
      </x:c>
      <x:c r="D8" s="26" t="str">
        <x:v>Amon-Ra St. Brown</x:v>
      </x:c>
      <x:c r="E8" s="26" t="str">
        <x:v>DET</x:v>
      </x:c>
      <x:c r="F8" s="26" t="str">
        <x:v>WR</x:v>
      </x:c>
      <x:c r="G8" s="28" t="n">
        <x:v>255.8</x:v>
      </x:c>
      <x:c r="H8" s="28" t="n">
        <x:v>145.20000000000002</x:v>
      </x:c>
      <x:c r="I8" s="28" t="n">
        <x:v>0</x:v>
      </x:c>
      <x:c r="J8" s="28" t="n">
        <x:v>145.20000000000002</x:v>
      </x:c>
      <x:c r="K8" s="27"/>
      <x:c r="L8" s="31" t="str">
        <x:v>ADP NOT LOADED</x:v>
      </x:c>
      <x:c r="M8" s="26" t="str">
        <x:v>Projection-only v1.0</x:v>
      </x:c>
    </x:row>
    <x:row r="9">
      <x:c r="A9" s="33" t="n">
        <x:v>5</x:v>
      </x:c>
      <x:c r="B9" s="26" t="n">
        <x:v>1</x:v>
      </x:c>
      <x:c r="C9" s="26" t="n">
        <x:v>5</x:v>
      </x:c>
      <x:c r="D9" s="26" t="str">
        <x:v>Justin Jefferson</x:v>
      </x:c>
      <x:c r="E9" s="26" t="str">
        <x:v>MIN</x:v>
      </x:c>
      <x:c r="F9" s="26" t="str">
        <x:v>WR</x:v>
      </x:c>
      <x:c r="G9" s="28" t="n">
        <x:v>231</x:v>
      </x:c>
      <x:c r="H9" s="28" t="n">
        <x:v>120.4</x:v>
      </x:c>
      <x:c r="I9" s="28" t="n">
        <x:v>0</x:v>
      </x:c>
      <x:c r="J9" s="28" t="n">
        <x:v>120.4</x:v>
      </x:c>
      <x:c r="K9" s="27"/>
      <x:c r="L9" s="31" t="str">
        <x:v>ADP NOT LOADED</x:v>
      </x:c>
      <x:c r="M9" s="26" t="str">
        <x:v>Projection-only v1.0</x:v>
      </x:c>
    </x:row>
    <x:row r="10">
      <x:c r="A10" s="33" t="n">
        <x:v>6</x:v>
      </x:c>
      <x:c r="B10" s="26" t="n">
        <x:v>1</x:v>
      </x:c>
      <x:c r="C10" s="26" t="n">
        <x:v>6</x:v>
      </x:c>
      <x:c r="D10" s="26" t="str">
        <x:v>CeeDee Lamb</x:v>
      </x:c>
      <x:c r="E10" s="26" t="str">
        <x:v>DAL</x:v>
      </x:c>
      <x:c r="F10" s="26" t="str">
        <x:v>WR</x:v>
      </x:c>
      <x:c r="G10" s="28" t="n">
        <x:v>223.6</x:v>
      </x:c>
      <x:c r="H10" s="28" t="n">
        <x:v>113</x:v>
      </x:c>
      <x:c r="I10" s="28" t="n">
        <x:v>0</x:v>
      </x:c>
      <x:c r="J10" s="28" t="n">
        <x:v>113</x:v>
      </x:c>
      <x:c r="K10" s="27"/>
      <x:c r="L10" s="31" t="str">
        <x:v>ADP NOT LOADED</x:v>
      </x:c>
      <x:c r="M10" s="26" t="str">
        <x:v>Projection-only v1.0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Drake London</x:v>
      </x:c>
      <x:c r="E11" s="26" t="str">
        <x:v>ATL</x:v>
      </x:c>
      <x:c r="F11" s="26" t="str">
        <x:v>WR</x:v>
      </x:c>
      <x:c r="G11" s="28" t="n">
        <x:v>222.5</x:v>
      </x:c>
      <x:c r="H11" s="28" t="n">
        <x:v>111.9</x:v>
      </x:c>
      <x:c r="I11" s="28" t="n">
        <x:v>0</x:v>
      </x:c>
      <x:c r="J11" s="28" t="n">
        <x:v>111.9</x:v>
      </x:c>
      <x:c r="K11" s="27"/>
      <x:c r="L11" s="31" t="str">
        <x:v>ADP NOT LOADED</x:v>
      </x:c>
      <x:c r="M11" s="26" t="str">
        <x:v>Projection-only v1.0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Rashee Rice</x:v>
      </x:c>
      <x:c r="E12" s="26" t="str">
        <x:v>KC</x:v>
      </x:c>
      <x:c r="F12" s="26" t="str">
        <x:v>WR</x:v>
      </x:c>
      <x:c r="G12" s="28" t="n">
        <x:v>215.5</x:v>
      </x:c>
      <x:c r="H12" s="28" t="n">
        <x:v>104.9</x:v>
      </x:c>
      <x:c r="I12" s="28" t="n">
        <x:v>0</x:v>
      </x:c>
      <x:c r="J12" s="28" t="n">
        <x:v>104.9</x:v>
      </x:c>
      <x:c r="K12" s="27"/>
      <x:c r="L12" s="31" t="str">
        <x:v>ADP NOT LOADED</x:v>
      </x:c>
      <x:c r="M12" s="26" t="str">
        <x:v>Projection-only v1.0</x:v>
      </x:c>
    </x:row>
    <x:row r="13">
      <x:c r="A13" s="26" t="n">
        <x:v>9</x:v>
      </x:c>
      <x:c r="B13" s="26" t="n">
        <x:v>2</x:v>
      </x:c>
      <x:c r="C13" s="26" t="n">
        <x:v>9</x:v>
      </x:c>
      <x:c r="D13" s="26" t="str">
        <x:v>Chris Olave</x:v>
      </x:c>
      <x:c r="E13" s="26" t="str">
        <x:v>NO</x:v>
      </x:c>
      <x:c r="F13" s="26" t="str">
        <x:v>WR</x:v>
      </x:c>
      <x:c r="G13" s="28" t="n">
        <x:v>209.3</x:v>
      </x:c>
      <x:c r="H13" s="28" t="n">
        <x:v>98.70000000000002</x:v>
      </x:c>
      <x:c r="I13" s="28" t="n">
        <x:v>0</x:v>
      </x:c>
      <x:c r="J13" s="28" t="n">
        <x:v>98.70000000000002</x:v>
      </x:c>
      <x:c r="K13" s="27"/>
      <x:c r="L13" s="31" t="str">
        <x:v>ADP NOT LOADED</x:v>
      </x:c>
      <x:c r="M13" s="26" t="str">
        <x:v>Projection-only v1.0</x:v>
      </x:c>
    </x:row>
    <x:row r="14">
      <x:c r="A14" s="26" t="n">
        <x:v>10</x:v>
      </x:c>
      <x:c r="B14" s="26" t="n">
        <x:v>2</x:v>
      </x:c>
      <x:c r="C14" s="26" t="n">
        <x:v>10</x:v>
      </x:c>
      <x:c r="D14" s="26" t="str">
        <x:v>A.J. Brown</x:v>
      </x:c>
      <x:c r="E14" s="26" t="str">
        <x:v>NE</x:v>
      </x:c>
      <x:c r="F14" s="26" t="str">
        <x:v>WR</x:v>
      </x:c>
      <x:c r="G14" s="28" t="n">
        <x:v>209.7</x:v>
      </x:c>
      <x:c r="H14" s="28" t="n">
        <x:v>99.1</x:v>
      </x:c>
      <x:c r="I14" s="28" t="n">
        <x:v>0</x:v>
      </x:c>
      <x:c r="J14" s="28" t="n">
        <x:v>99.1</x:v>
      </x:c>
      <x:c r="K14" s="27"/>
      <x:c r="L14" s="31" t="str">
        <x:v>ADP NOT LOADED</x:v>
      </x:c>
      <x:c r="M14" s="26" t="str">
        <x:v>Projection-only v1.0</x:v>
      </x:c>
    </x:row>
    <x:row r="15">
      <x:c r="A15" s="26" t="n">
        <x:v>11</x:v>
      </x:c>
      <x:c r="B15" s="26" t="n">
        <x:v>2</x:v>
      </x:c>
      <x:c r="C15" s="26" t="n">
        <x:v>11</x:v>
      </x:c>
      <x:c r="D15" s="26" t="str">
        <x:v>Nico Collins</x:v>
      </x:c>
      <x:c r="E15" s="26" t="str">
        <x:v>HOU</x:v>
      </x:c>
      <x:c r="F15" s="26" t="str">
        <x:v>WR</x:v>
      </x:c>
      <x:c r="G15" s="28" t="n">
        <x:v>206.7</x:v>
      </x:c>
      <x:c r="H15" s="28" t="n">
        <x:v>96.1</x:v>
      </x:c>
      <x:c r="I15" s="28" t="n">
        <x:v>0</x:v>
      </x:c>
      <x:c r="J15" s="28" t="n">
        <x:v>96.1</x:v>
      </x:c>
      <x:c r="K15" s="27"/>
      <x:c r="L15" s="31" t="str">
        <x:v>ADP NOT LOADED</x:v>
      </x:c>
      <x:c r="M15" s="26" t="str">
        <x:v>Projection-only v1.0</x:v>
      </x:c>
    </x:row>
    <x:row r="16">
      <x:c r="A16" s="26" t="n">
        <x:v>12</x:v>
      </x:c>
      <x:c r="B16" s="26" t="n">
        <x:v>2</x:v>
      </x:c>
      <x:c r="C16" s="26" t="n">
        <x:v>12</x:v>
      </x:c>
      <x:c r="D16" s="26" t="str">
        <x:v>George Pickens</x:v>
      </x:c>
      <x:c r="E16" s="26" t="str">
        <x:v>DAL</x:v>
      </x:c>
      <x:c r="F16" s="26" t="str">
        <x:v>WR</x:v>
      </x:c>
      <x:c r="G16" s="28" t="n">
        <x:v>205.6</x:v>
      </x:c>
      <x:c r="H16" s="28" t="n">
        <x:v>95</x:v>
      </x:c>
      <x:c r="I16" s="28" t="n">
        <x:v>0</x:v>
      </x:c>
      <x:c r="J16" s="28" t="n">
        <x:v>95</x:v>
      </x:c>
      <x:c r="K16" s="27"/>
      <x:c r="L16" s="31" t="str">
        <x:v>ADP NOT LOADED</x:v>
      </x:c>
      <x:c r="M16" s="26" t="str">
        <x:v>Projection-only v1.0</x:v>
      </x:c>
    </x:row>
    <x:row r="17">
      <x:c r="A17" s="26" t="n">
        <x:v>13</x:v>
      </x:c>
      <x:c r="B17" s="26" t="n">
        <x:v>2</x:v>
      </x:c>
      <x:c r="C17" s="26" t="n">
        <x:v>13</x:v>
      </x:c>
      <x:c r="D17" s="26" t="str">
        <x:v>Zay Flowers</x:v>
      </x:c>
      <x:c r="E17" s="26" t="str">
        <x:v>BAL</x:v>
      </x:c>
      <x:c r="F17" s="26" t="str">
        <x:v>WR</x:v>
      </x:c>
      <x:c r="G17" s="28" t="n">
        <x:v>202.1</x:v>
      </x:c>
      <x:c r="H17" s="28" t="n">
        <x:v>91.5</x:v>
      </x:c>
      <x:c r="I17" s="28" t="n">
        <x:v>0</x:v>
      </x:c>
      <x:c r="J17" s="28" t="n">
        <x:v>91.5</x:v>
      </x:c>
      <x:c r="K17" s="27"/>
      <x:c r="L17" s="31" t="str">
        <x:v>ADP NOT LOADED</x:v>
      </x:c>
      <x:c r="M17" s="26" t="str">
        <x:v>Projection-only v1.0</x:v>
      </x:c>
    </x:row>
    <x:row r="18">
      <x:c r="A18" s="26" t="n">
        <x:v>14</x:v>
      </x:c>
      <x:c r="B18" s="26" t="n">
        <x:v>2</x:v>
      </x:c>
      <x:c r="C18" s="26" t="n">
        <x:v>14</x:v>
      </x:c>
      <x:c r="D18" s="26" t="str">
        <x:v>Rome Odunze</x:v>
      </x:c>
      <x:c r="E18" s="26" t="str">
        <x:v>CHI</x:v>
      </x:c>
      <x:c r="F18" s="26" t="str">
        <x:v>WR</x:v>
      </x:c>
      <x:c r="G18" s="28" t="n">
        <x:v>190.9</x:v>
      </x:c>
      <x:c r="H18" s="28" t="n">
        <x:v>80.30000000000001</x:v>
      </x:c>
      <x:c r="I18" s="28" t="n">
        <x:v>0</x:v>
      </x:c>
      <x:c r="J18" s="28" t="n">
        <x:v>80.30000000000001</x:v>
      </x:c>
      <x:c r="K18" s="27"/>
      <x:c r="L18" s="31" t="str">
        <x:v>ADP NOT LOADED</x:v>
      </x:c>
      <x:c r="M18" s="26" t="str">
        <x:v>Projection-only v1.0</x:v>
      </x:c>
    </x:row>
    <x:row r="19">
      <x:c r="A19" s="26" t="n">
        <x:v>15</x:v>
      </x:c>
      <x:c r="B19" s="26" t="n">
        <x:v>2</x:v>
      </x:c>
      <x:c r="C19" s="26" t="n">
        <x:v>15</x:v>
      </x:c>
      <x:c r="D19" s="26" t="str">
        <x:v>DeVonta Smith</x:v>
      </x:c>
      <x:c r="E19" s="26" t="str">
        <x:v>PHI</x:v>
      </x:c>
      <x:c r="F19" s="26" t="str">
        <x:v>WR</x:v>
      </x:c>
      <x:c r="G19" s="28" t="n">
        <x:v>184.3</x:v>
      </x:c>
      <x:c r="H19" s="28" t="n">
        <x:v>73.70000000000002</x:v>
      </x:c>
      <x:c r="I19" s="28" t="n">
        <x:v>0</x:v>
      </x:c>
      <x:c r="J19" s="28" t="n">
        <x:v>73.70000000000002</x:v>
      </x:c>
      <x:c r="K19" s="27"/>
      <x:c r="L19" s="31" t="str">
        <x:v>ADP NOT LOADED</x:v>
      </x:c>
      <x:c r="M19" s="26" t="str">
        <x:v>Projection-only v1.0</x:v>
      </x:c>
    </x:row>
    <x:row r="20">
      <x:c r="A20" s="26" t="n">
        <x:v>16</x:v>
      </x:c>
      <x:c r="B20" s="26" t="n">
        <x:v>2</x:v>
      </x:c>
      <x:c r="C20" s="26" t="n">
        <x:v>16</x:v>
      </x:c>
      <x:c r="D20" s="26" t="str">
        <x:v>Garrett Wilson</x:v>
      </x:c>
      <x:c r="E20" s="26" t="str">
        <x:v>NYJ</x:v>
      </x:c>
      <x:c r="F20" s="26" t="str">
        <x:v>WR</x:v>
      </x:c>
      <x:c r="G20" s="28" t="n">
        <x:v>180.3</x:v>
      </x:c>
      <x:c r="H20" s="28" t="n">
        <x:v>69.70000000000002</x:v>
      </x:c>
      <x:c r="I20" s="28" t="n">
        <x:v>0</x:v>
      </x:c>
      <x:c r="J20" s="28" t="n">
        <x:v>69.70000000000002</x:v>
      </x:c>
      <x:c r="K20" s="27"/>
      <x:c r="L20" s="31" t="str">
        <x:v>ADP NOT LOADED</x:v>
      </x:c>
      <x:c r="M20" s="26" t="str">
        <x:v>Projection-only v1.0</x:v>
      </x:c>
    </x:row>
    <x:row r="21">
      <x:c r="A21" s="26" t="n">
        <x:v>17</x:v>
      </x:c>
      <x:c r="B21" s="26" t="n">
        <x:v>2</x:v>
      </x:c>
      <x:c r="C21" s="26" t="n">
        <x:v>17</x:v>
      </x:c>
      <x:c r="D21" s="26" t="str">
        <x:v>Tee Higgins</x:v>
      </x:c>
      <x:c r="E21" s="26" t="str">
        <x:v>CIN</x:v>
      </x:c>
      <x:c r="F21" s="26" t="str">
        <x:v>WR</x:v>
      </x:c>
      <x:c r="G21" s="28" t="n">
        <x:v>184.7</x:v>
      </x:c>
      <x:c r="H21" s="28" t="n">
        <x:v>74.1</x:v>
      </x:c>
      <x:c r="I21" s="28" t="n">
        <x:v>0</x:v>
      </x:c>
      <x:c r="J21" s="28" t="n">
        <x:v>74.1</x:v>
      </x:c>
      <x:c r="K21" s="27"/>
      <x:c r="L21" s="31" t="str">
        <x:v>ADP NOT LOADED</x:v>
      </x:c>
      <x:c r="M21" s="26" t="str">
        <x:v>Projection-only v1.0</x:v>
      </x:c>
    </x:row>
    <x:row r="22">
      <x:c r="A22" s="26" t="n">
        <x:v>18</x:v>
      </x:c>
      <x:c r="B22" s="26" t="n">
        <x:v>2</x:v>
      </x:c>
      <x:c r="C22" s="26" t="n">
        <x:v>18</x:v>
      </x:c>
      <x:c r="D22" s="26" t="str">
        <x:v>Marvin Harrison Jr.</x:v>
      </x:c>
      <x:c r="E22" s="26" t="str">
        <x:v>ARI</x:v>
      </x:c>
      <x:c r="F22" s="26" t="str">
        <x:v>WR</x:v>
      </x:c>
      <x:c r="G22" s="28" t="n">
        <x:v>180.6</x:v>
      </x:c>
      <x:c r="H22" s="28" t="n">
        <x:v>70</x:v>
      </x:c>
      <x:c r="I22" s="28" t="n">
        <x:v>0</x:v>
      </x:c>
      <x:c r="J22" s="28" t="n">
        <x:v>70</x:v>
      </x:c>
      <x:c r="K22" s="27"/>
      <x:c r="L22" s="31" t="str">
        <x:v>ADP NOT LOADED</x:v>
      </x:c>
      <x:c r="M22" s="26" t="str">
        <x:v>Projection-only v1.0</x:v>
      </x:c>
    </x:row>
    <x:row r="23">
      <x:c r="A23" s="26" t="n">
        <x:v>19</x:v>
      </x:c>
      <x:c r="B23" s="26" t="n">
        <x:v>3</x:v>
      </x:c>
      <x:c r="C23" s="26" t="n">
        <x:v>19</x:v>
      </x:c>
      <x:c r="D23" s="26" t="str">
        <x:v>Tetairoa McMillan</x:v>
      </x:c>
      <x:c r="E23" s="26" t="str">
        <x:v>CAR</x:v>
      </x:c>
      <x:c r="F23" s="26" t="str">
        <x:v>WR</x:v>
      </x:c>
      <x:c r="G23" s="28" t="n">
        <x:v>178.8</x:v>
      </x:c>
      <x:c r="H23" s="28" t="n">
        <x:v>68.20000000000002</x:v>
      </x:c>
      <x:c r="I23" s="28" t="n">
        <x:v>0</x:v>
      </x:c>
      <x:c r="J23" s="28" t="n">
        <x:v>68.20000000000002</x:v>
      </x:c>
      <x:c r="K23" s="27"/>
      <x:c r="L23" s="31" t="str">
        <x:v>ADP NOT LOADED</x:v>
      </x:c>
      <x:c r="M23" s="26" t="str">
        <x:v>Projection-only v1.0</x:v>
      </x:c>
    </x:row>
    <x:row r="24">
      <x:c r="A24" s="26" t="n">
        <x:v>20</x:v>
      </x:c>
      <x:c r="B24" s="26" t="n">
        <x:v>3</x:v>
      </x:c>
      <x:c r="C24" s="26" t="n">
        <x:v>20</x:v>
      </x:c>
      <x:c r="D24" s="26" t="str">
        <x:v>Emeka Egbuka</x:v>
      </x:c>
      <x:c r="E24" s="26" t="str">
        <x:v>TB</x:v>
      </x:c>
      <x:c r="F24" s="26" t="str">
        <x:v>WR</x:v>
      </x:c>
      <x:c r="G24" s="28" t="n">
        <x:v>177.5</x:v>
      </x:c>
      <x:c r="H24" s="28" t="n">
        <x:v>66.9</x:v>
      </x:c>
      <x:c r="I24" s="28" t="n">
        <x:v>0</x:v>
      </x:c>
      <x:c r="J24" s="28" t="n">
        <x:v>66.9</x:v>
      </x:c>
      <x:c r="K24" s="27"/>
      <x:c r="L24" s="31" t="str">
        <x:v>ADP NOT LOADED</x:v>
      </x:c>
      <x:c r="M24" s="26" t="str">
        <x:v>Projection-only v1.0</x:v>
      </x:c>
    </x:row>
    <x:row r="25">
      <x:c r="A25" s="26" t="n">
        <x:v>21</x:v>
      </x:c>
      <x:c r="B25" s="26" t="n">
        <x:v>3</x:v>
      </x:c>
      <x:c r="C25" s="26" t="n">
        <x:v>21</x:v>
      </x:c>
      <x:c r="D25" s="26" t="str">
        <x:v>Luther Burden III</x:v>
      </x:c>
      <x:c r="E25" s="26" t="str">
        <x:v>CHI</x:v>
      </x:c>
      <x:c r="F25" s="26" t="str">
        <x:v>WR</x:v>
      </x:c>
      <x:c r="G25" s="28" t="n">
        <x:v>173.4</x:v>
      </x:c>
      <x:c r="H25" s="28" t="n">
        <x:v>62.80000000000001</x:v>
      </x:c>
      <x:c r="I25" s="28" t="n">
        <x:v>0</x:v>
      </x:c>
      <x:c r="J25" s="28" t="n">
        <x:v>62.80000000000001</x:v>
      </x:c>
      <x:c r="K25" s="27"/>
      <x:c r="L25" s="31" t="str">
        <x:v>ADP NOT LOADED</x:v>
      </x:c>
      <x:c r="M25" s="26" t="str">
        <x:v>Projection-only v1.0</x:v>
      </x:c>
    </x:row>
    <x:row r="26">
      <x:c r="A26" s="26" t="n">
        <x:v>22</x:v>
      </x:c>
      <x:c r="B26" s="26" t="n">
        <x:v>3</x:v>
      </x:c>
      <x:c r="C26" s="26" t="n">
        <x:v>22</x:v>
      </x:c>
      <x:c r="D26" s="26" t="str">
        <x:v>DJ Moore</x:v>
      </x:c>
      <x:c r="E26" s="26" t="str">
        <x:v>BUF</x:v>
      </x:c>
      <x:c r="F26" s="26" t="str">
        <x:v>WR</x:v>
      </x:c>
      <x:c r="G26" s="28" t="n">
        <x:v>173.8</x:v>
      </x:c>
      <x:c r="H26" s="28" t="n">
        <x:v>63.20000000000002</x:v>
      </x:c>
      <x:c r="I26" s="28" t="n">
        <x:v>0</x:v>
      </x:c>
      <x:c r="J26" s="28" t="n">
        <x:v>63.20000000000002</x:v>
      </x:c>
      <x:c r="K26" s="27"/>
      <x:c r="L26" s="31" t="str">
        <x:v>ADP NOT LOADED</x:v>
      </x:c>
      <x:c r="M26" s="26" t="str">
        <x:v>Projection-only v1.0</x:v>
      </x:c>
    </x:row>
    <x:row r="27">
      <x:c r="A27" s="26" t="n">
        <x:v>23</x:v>
      </x:c>
      <x:c r="B27" s="26" t="n">
        <x:v>3</x:v>
      </x:c>
      <x:c r="C27" s="26" t="n">
        <x:v>23</x:v>
      </x:c>
      <x:c r="D27" s="26" t="str">
        <x:v>Terry McLaurin</x:v>
      </x:c>
      <x:c r="E27" s="26" t="str">
        <x:v>WAS</x:v>
      </x:c>
      <x:c r="F27" s="26" t="str">
        <x:v>WR</x:v>
      </x:c>
      <x:c r="G27" s="28" t="n">
        <x:v>170.2</x:v>
      </x:c>
      <x:c r="H27" s="28" t="n">
        <x:v>59.599999999999994</x:v>
      </x:c>
      <x:c r="I27" s="28" t="n">
        <x:v>0</x:v>
      </x:c>
      <x:c r="J27" s="28" t="n">
        <x:v>59.599999999999994</x:v>
      </x:c>
      <x:c r="K27" s="27"/>
      <x:c r="L27" s="31" t="str">
        <x:v>ADP NOT LOADED</x:v>
      </x:c>
      <x:c r="M27" s="26" t="str">
        <x:v>Projection-only v1.0</x:v>
      </x:c>
    </x:row>
    <x:row r="28">
      <x:c r="A28" s="26" t="n">
        <x:v>24</x:v>
      </x:c>
      <x:c r="B28" s="26" t="n">
        <x:v>3</x:v>
      </x:c>
      <x:c r="C28" s="26" t="n">
        <x:v>24</x:v>
      </x:c>
      <x:c r="D28" s="26" t="str">
        <x:v>Malik Nabers</x:v>
      </x:c>
      <x:c r="E28" s="26" t="str">
        <x:v>NYG</x:v>
      </x:c>
      <x:c r="F28" s="26" t="str">
        <x:v>WR</x:v>
      </x:c>
      <x:c r="G28" s="28" t="n">
        <x:v>167.1</x:v>
      </x:c>
      <x:c r="H28" s="28" t="n">
        <x:v>56.5</x:v>
      </x:c>
      <x:c r="I28" s="28" t="n">
        <x:v>0</x:v>
      </x:c>
      <x:c r="J28" s="28" t="n">
        <x:v>56.5</x:v>
      </x:c>
      <x:c r="K28" s="27"/>
      <x:c r="L28" s="31" t="str">
        <x:v>ADP NOT LOADED</x:v>
      </x:c>
      <x:c r="M28" s="26" t="str">
        <x:v>Projection-only v1.0</x:v>
      </x:c>
    </x:row>
    <x:row r="29">
      <x:c r="A29" s="26" t="n">
        <x:v>25</x:v>
      </x:c>
      <x:c r="B29" s="26" t="n">
        <x:v>3</x:v>
      </x:c>
      <x:c r="C29" s="26" t="n">
        <x:v>25</x:v>
      </x:c>
      <x:c r="D29" s="26" t="str">
        <x:v>Jameson Williams</x:v>
      </x:c>
      <x:c r="E29" s="26" t="str">
        <x:v>DET</x:v>
      </x:c>
      <x:c r="F29" s="26" t="str">
        <x:v>WR</x:v>
      </x:c>
      <x:c r="G29" s="28" t="n">
        <x:v>172.2</x:v>
      </x:c>
      <x:c r="H29" s="28" t="n">
        <x:v>61.599999999999994</x:v>
      </x:c>
      <x:c r="I29" s="28" t="n">
        <x:v>0</x:v>
      </x:c>
      <x:c r="J29" s="28" t="n">
        <x:v>61.599999999999994</x:v>
      </x:c>
      <x:c r="K29" s="27"/>
      <x:c r="L29" s="31" t="str">
        <x:v>ADP NOT LOADED</x:v>
      </x:c>
      <x:c r="M29" s="26" t="str">
        <x:v>Projection-only v1.0</x:v>
      </x:c>
    </x:row>
    <x:row r="30">
      <x:c r="A30" s="26" t="n">
        <x:v>26</x:v>
      </x:c>
      <x:c r="B30" s="26" t="n">
        <x:v>3</x:v>
      </x:c>
      <x:c r="C30" s="26" t="n">
        <x:v>26</x:v>
      </x:c>
      <x:c r="D30" s="26" t="str">
        <x:v>Jaylen Waddle</x:v>
      </x:c>
      <x:c r="E30" s="26" t="str">
        <x:v>DEN</x:v>
      </x:c>
      <x:c r="F30" s="26" t="str">
        <x:v>WR</x:v>
      </x:c>
      <x:c r="G30" s="28" t="n">
        <x:v>166.4</x:v>
      </x:c>
      <x:c r="H30" s="28" t="n">
        <x:v>55.80000000000001</x:v>
      </x:c>
      <x:c r="I30" s="28" t="n">
        <x:v>0</x:v>
      </x:c>
      <x:c r="J30" s="28" t="n">
        <x:v>55.80000000000001</x:v>
      </x:c>
      <x:c r="K30" s="27"/>
      <x:c r="L30" s="31" t="str">
        <x:v>ADP NOT LOADED</x:v>
      </x:c>
      <x:c r="M30" s="26" t="str">
        <x:v>Projection-only v1.0</x:v>
      </x:c>
    </x:row>
    <x:row r="31">
      <x:c r="A31" s="26" t="n">
        <x:v>27</x:v>
      </x:c>
      <x:c r="B31" s="26" t="n">
        <x:v>3</x:v>
      </x:c>
      <x:c r="C31" s="26" t="n">
        <x:v>27</x:v>
      </x:c>
      <x:c r="D31" s="26" t="str">
        <x:v>Mike Evans</x:v>
      </x:c>
      <x:c r="E31" s="26" t="str">
        <x:v>SF</x:v>
      </x:c>
      <x:c r="F31" s="26" t="str">
        <x:v>WR</x:v>
      </x:c>
      <x:c r="G31" s="28" t="n">
        <x:v>168.8</x:v>
      </x:c>
      <x:c r="H31" s="28" t="n">
        <x:v>58.20000000000002</x:v>
      </x:c>
      <x:c r="I31" s="28" t="n">
        <x:v>0</x:v>
      </x:c>
      <x:c r="J31" s="28" t="n">
        <x:v>58.20000000000002</x:v>
      </x:c>
      <x:c r="K31" s="27"/>
      <x:c r="L31" s="31" t="str">
        <x:v>ADP NOT LOADED</x:v>
      </x:c>
      <x:c r="M31" s="26" t="str">
        <x:v>Projection-only v1.0</x:v>
      </x:c>
    </x:row>
    <x:row r="32">
      <x:c r="A32" s="26" t="n">
        <x:v>28</x:v>
      </x:c>
      <x:c r="B32" s="26" t="n">
        <x:v>3</x:v>
      </x:c>
      <x:c r="C32" s="26" t="n">
        <x:v>28</x:v>
      </x:c>
      <x:c r="D32" s="26" t="str">
        <x:v>Ladd McConkey</x:v>
      </x:c>
      <x:c r="E32" s="26" t="str">
        <x:v>LAC</x:v>
      </x:c>
      <x:c r="F32" s="26" t="str">
        <x:v>WR</x:v>
      </x:c>
      <x:c r="G32" s="28" t="n">
        <x:v>162</x:v>
      </x:c>
      <x:c r="H32" s="28" t="n">
        <x:v>51.400000000000006</x:v>
      </x:c>
      <x:c r="I32" s="28" t="n">
        <x:v>0</x:v>
      </x:c>
      <x:c r="J32" s="28" t="n">
        <x:v>51.400000000000006</x:v>
      </x:c>
      <x:c r="K32" s="27"/>
      <x:c r="L32" s="31" t="str">
        <x:v>ADP NOT LOADED</x:v>
      </x:c>
      <x:c r="M32" s="26" t="str">
        <x:v>Projection-only v1.0</x:v>
      </x:c>
    </x:row>
    <x:row r="33">
      <x:c r="A33" s="26" t="n">
        <x:v>29</x:v>
      </x:c>
      <x:c r="B33" s="26" t="n">
        <x:v>3</x:v>
      </x:c>
      <x:c r="C33" s="26" t="n">
        <x:v>29</x:v>
      </x:c>
      <x:c r="D33" s="26" t="str">
        <x:v>Courtland Sutton</x:v>
      </x:c>
      <x:c r="E33" s="26" t="str">
        <x:v>DEN</x:v>
      </x:c>
      <x:c r="F33" s="26" t="str">
        <x:v>WR</x:v>
      </x:c>
      <x:c r="G33" s="28" t="n">
        <x:v>163</x:v>
      </x:c>
      <x:c r="H33" s="28" t="n">
        <x:v>52.400000000000006</x:v>
      </x:c>
      <x:c r="I33" s="28" t="n">
        <x:v>0</x:v>
      </x:c>
      <x:c r="J33" s="28" t="n">
        <x:v>52.400000000000006</x:v>
      </x:c>
      <x:c r="K33" s="27"/>
      <x:c r="L33" s="31" t="str">
        <x:v>ADP NOT LOADED</x:v>
      </x:c>
      <x:c r="M33" s="26" t="str">
        <x:v>Projection-only v1.0</x:v>
      </x:c>
    </x:row>
    <x:row r="34">
      <x:c r="A34" s="26" t="n">
        <x:v>30</x:v>
      </x:c>
      <x:c r="B34" s="26" t="n">
        <x:v>3</x:v>
      </x:c>
      <x:c r="C34" s="26" t="n">
        <x:v>30</x:v>
      </x:c>
      <x:c r="D34" s="26" t="str">
        <x:v>Wan'Dale Robinson</x:v>
      </x:c>
      <x:c r="E34" s="26" t="str">
        <x:v>TEN</x:v>
      </x:c>
      <x:c r="F34" s="26" t="str">
        <x:v>WR</x:v>
      </x:c>
      <x:c r="G34" s="28" t="n">
        <x:v>152.9</x:v>
      </x:c>
      <x:c r="H34" s="28" t="n">
        <x:v>42.30000000000001</x:v>
      </x:c>
      <x:c r="I34" s="28" t="n">
        <x:v>0</x:v>
      </x:c>
      <x:c r="J34" s="28" t="n">
        <x:v>42.30000000000001</x:v>
      </x:c>
      <x:c r="K34" s="27"/>
      <x:c r="L34" s="31" t="str">
        <x:v>ADP NOT LOADED</x:v>
      </x:c>
      <x:c r="M34" s="26" t="str">
        <x:v>Projection-only v1.0</x:v>
      </x:c>
    </x:row>
    <x:row r="35">
      <x:c r="A35" s="26" t="n">
        <x:v>31</x:v>
      </x:c>
      <x:c r="B35" s="26" t="n">
        <x:v>3</x:v>
      </x:c>
      <x:c r="C35" s="26" t="n">
        <x:v>31</x:v>
      </x:c>
      <x:c r="D35" s="26" t="str">
        <x:v>Davante Adams</x:v>
      </x:c>
      <x:c r="E35" s="26" t="str">
        <x:v>LAR</x:v>
      </x:c>
      <x:c r="F35" s="26" t="str">
        <x:v>WR</x:v>
      </x:c>
      <x:c r="G35" s="28" t="n">
        <x:v>161.3</x:v>
      </x:c>
      <x:c r="H35" s="28" t="n">
        <x:v>50.70000000000002</x:v>
      </x:c>
      <x:c r="I35" s="28" t="n">
        <x:v>0</x:v>
      </x:c>
      <x:c r="J35" s="28" t="n">
        <x:v>50.70000000000002</x:v>
      </x:c>
      <x:c r="K35" s="27"/>
      <x:c r="L35" s="31" t="str">
        <x:v>ADP NOT LOADED</x:v>
      </x:c>
      <x:c r="M35" s="26" t="str">
        <x:v>Projection-only v1.0</x:v>
      </x:c>
    </x:row>
    <x:row r="36">
      <x:c r="A36" s="26" t="n">
        <x:v>32</x:v>
      </x:c>
      <x:c r="B36" s="26" t="n">
        <x:v>3</x:v>
      </x:c>
      <x:c r="C36" s="26" t="n">
        <x:v>32</x:v>
      </x:c>
      <x:c r="D36" s="26" t="str">
        <x:v>DK Metcalf</x:v>
      </x:c>
      <x:c r="E36" s="26" t="str">
        <x:v>PIT</x:v>
      </x:c>
      <x:c r="F36" s="26" t="str">
        <x:v>WR</x:v>
      </x:c>
      <x:c r="G36" s="28" t="n">
        <x:v>158.2</x:v>
      </x:c>
      <x:c r="H36" s="28" t="n">
        <x:v>47.599999999999994</x:v>
      </x:c>
      <x:c r="I36" s="28" t="n">
        <x:v>0</x:v>
      </x:c>
      <x:c r="J36" s="28" t="n">
        <x:v>47.599999999999994</x:v>
      </x:c>
      <x:c r="K36" s="27"/>
      <x:c r="L36" s="31" t="str">
        <x:v>ADP NOT LOADED</x:v>
      </x:c>
      <x:c r="M36" s="26" t="str">
        <x:v>Projection-only v1.0</x:v>
      </x:c>
    </x:row>
    <x:row r="37">
      <x:c r="A37" s="26" t="n">
        <x:v>33</x:v>
      </x:c>
      <x:c r="B37" s="26" t="n">
        <x:v>3</x:v>
      </x:c>
      <x:c r="C37" s="26" t="n">
        <x:v>33</x:v>
      </x:c>
      <x:c r="D37" s="26" t="str">
        <x:v>Christian Watson</x:v>
      </x:c>
      <x:c r="E37" s="26" t="str">
        <x:v>GB</x:v>
      </x:c>
      <x:c r="F37" s="26" t="str">
        <x:v>WR</x:v>
      </x:c>
      <x:c r="G37" s="28" t="n">
        <x:v>155.6</x:v>
      </x:c>
      <x:c r="H37" s="28" t="n">
        <x:v>45</x:v>
      </x:c>
      <x:c r="I37" s="28" t="n">
        <x:v>0</x:v>
      </x:c>
      <x:c r="J37" s="28" t="n">
        <x:v>45</x:v>
      </x:c>
      <x:c r="K37" s="27"/>
      <x:c r="L37" s="31" t="str">
        <x:v>ADP NOT LOADED</x:v>
      </x:c>
      <x:c r="M37" s="26" t="str">
        <x:v>Projection-only v1.0</x:v>
      </x:c>
    </x:row>
    <x:row r="38">
      <x:c r="A38" s="26" t="n">
        <x:v>34</x:v>
      </x:c>
      <x:c r="B38" s="26" t="n">
        <x:v>3</x:v>
      </x:c>
      <x:c r="C38" s="26" t="n">
        <x:v>34</x:v>
      </x:c>
      <x:c r="D38" s="26" t="str">
        <x:v>Michael Wilson</x:v>
      </x:c>
      <x:c r="E38" s="26" t="str">
        <x:v>ARI</x:v>
      </x:c>
      <x:c r="F38" s="26" t="str">
        <x:v>WR</x:v>
      </x:c>
      <x:c r="G38" s="28" t="n">
        <x:v>147.3</x:v>
      </x:c>
      <x:c r="H38" s="28" t="n">
        <x:v>36.70000000000002</x:v>
      </x:c>
      <x:c r="I38" s="28" t="n">
        <x:v>0</x:v>
      </x:c>
      <x:c r="J38" s="28" t="n">
        <x:v>36.70000000000002</x:v>
      </x:c>
      <x:c r="K38" s="27"/>
      <x:c r="L38" s="31" t="str">
        <x:v>ADP NOT LOADED</x:v>
      </x:c>
      <x:c r="M38" s="26" t="str">
        <x:v>Projection-only v1.0</x:v>
      </x:c>
    </x:row>
    <x:row r="39">
      <x:c r="A39" s="26" t="n">
        <x:v>35</x:v>
      </x:c>
      <x:c r="B39" s="26" t="n">
        <x:v>3</x:v>
      </x:c>
      <x:c r="C39" s="26" t="n">
        <x:v>35</x:v>
      </x:c>
      <x:c r="D39" s="26" t="str">
        <x:v>Michael Pittman Jr.</x:v>
      </x:c>
      <x:c r="E39" s="26" t="str">
        <x:v>PIT</x:v>
      </x:c>
      <x:c r="F39" s="26" t="str">
        <x:v>WR</x:v>
      </x:c>
      <x:c r="G39" s="28" t="n">
        <x:v>140.6</x:v>
      </x:c>
      <x:c r="H39" s="28" t="n">
        <x:v>30</x:v>
      </x:c>
      <x:c r="I39" s="28" t="n">
        <x:v>0</x:v>
      </x:c>
      <x:c r="J39" s="28" t="n">
        <x:v>30</x:v>
      </x:c>
      <x:c r="K39" s="27"/>
      <x:c r="L39" s="31" t="str">
        <x:v>ADP NOT LOADED</x:v>
      </x:c>
      <x:c r="M39" s="26" t="str">
        <x:v>Projection-only v1.0</x:v>
      </x:c>
    </x:row>
    <x:row r="40">
      <x:c r="A40" s="26" t="n">
        <x:v>36</x:v>
      </x:c>
      <x:c r="B40" s="26" t="n">
        <x:v>3</x:v>
      </x:c>
      <x:c r="C40" s="26" t="n">
        <x:v>36</x:v>
      </x:c>
      <x:c r="D40" s="26" t="str">
        <x:v>Parker Washington</x:v>
      </x:c>
      <x:c r="E40" s="26" t="str">
        <x:v>JAX</x:v>
      </x:c>
      <x:c r="F40" s="26" t="str">
        <x:v>WR</x:v>
      </x:c>
      <x:c r="G40" s="28" t="n">
        <x:v>147.6</x:v>
      </x:c>
      <x:c r="H40" s="28" t="n">
        <x:v>37</x:v>
      </x:c>
      <x:c r="I40" s="28" t="n">
        <x:v>0</x:v>
      </x:c>
      <x:c r="J40" s="28" t="n">
        <x:v>37</x:v>
      </x:c>
      <x:c r="K40" s="27"/>
      <x:c r="L40" s="31" t="str">
        <x:v>ADP NOT LOADED</x:v>
      </x:c>
      <x:c r="M40" s="26" t="str">
        <x:v>Projection-only v1.0</x:v>
      </x:c>
    </x:row>
    <x:row r="41">
      <x:c r="A41" s="26" t="n">
        <x:v>37</x:v>
      </x:c>
      <x:c r="B41" s="26" t="n">
        <x:v>4</x:v>
      </x:c>
      <x:c r="C41" s="26" t="n">
        <x:v>37</x:v>
      </x:c>
      <x:c r="D41" s="26" t="str">
        <x:v>Brian Thomas Jr.</x:v>
      </x:c>
      <x:c r="E41" s="26" t="str">
        <x:v>JAX</x:v>
      </x:c>
      <x:c r="F41" s="26" t="str">
        <x:v>WR</x:v>
      </x:c>
      <x:c r="G41" s="28" t="n">
        <x:v>145.4</x:v>
      </x:c>
      <x:c r="H41" s="28" t="n">
        <x:v>34.80000000000001</x:v>
      </x:c>
      <x:c r="I41" s="28" t="n">
        <x:v>0</x:v>
      </x:c>
      <x:c r="J41" s="28" t="n">
        <x:v>34.80000000000001</x:v>
      </x:c>
      <x:c r="K41" s="27"/>
      <x:c r="L41" s="31" t="str">
        <x:v>ADP NOT LOADED</x:v>
      </x:c>
      <x:c r="M41" s="26" t="str">
        <x:v>Projection-only v1.0</x:v>
      </x:c>
    </x:row>
    <x:row r="42">
      <x:c r="A42" s="26" t="n">
        <x:v>38</x:v>
      </x:c>
      <x:c r="B42" s="26" t="n">
        <x:v>4</x:v>
      </x:c>
      <x:c r="C42" s="26" t="n">
        <x:v>38</x:v>
      </x:c>
      <x:c r="D42" s="26" t="str">
        <x:v>Jayden Reed</x:v>
      </x:c>
      <x:c r="E42" s="26" t="str">
        <x:v>GB</x:v>
      </x:c>
      <x:c r="F42" s="26" t="str">
        <x:v>WR</x:v>
      </x:c>
      <x:c r="G42" s="28" t="n">
        <x:v>140.5</x:v>
      </x:c>
      <x:c r="H42" s="28" t="n">
        <x:v>29.900000000000006</x:v>
      </x:c>
      <x:c r="I42" s="28" t="n">
        <x:v>0</x:v>
      </x:c>
      <x:c r="J42" s="28" t="n">
        <x:v>29.900000000000006</x:v>
      </x:c>
      <x:c r="K42" s="27"/>
      <x:c r="L42" s="31" t="str">
        <x:v>ADP NOT LOADED</x:v>
      </x:c>
      <x:c r="M42" s="26" t="str">
        <x:v>Projection-only v1.0</x:v>
      </x:c>
    </x:row>
    <x:row r="43">
      <x:c r="A43" s="26" t="n">
        <x:v>39</x:v>
      </x:c>
      <x:c r="B43" s="26" t="n">
        <x:v>4</x:v>
      </x:c>
      <x:c r="C43" s="26" t="n">
        <x:v>39</x:v>
      </x:c>
      <x:c r="D43" s="26" t="str">
        <x:v>Matthew Golden</x:v>
      </x:c>
      <x:c r="E43" s="26" t="str">
        <x:v>GB</x:v>
      </x:c>
      <x:c r="F43" s="26" t="str">
        <x:v>WR</x:v>
      </x:c>
      <x:c r="G43" s="28" t="n">
        <x:v>135.8</x:v>
      </x:c>
      <x:c r="H43" s="28" t="n">
        <x:v>25.200000000000017</x:v>
      </x:c>
      <x:c r="I43" s="28" t="n">
        <x:v>0</x:v>
      </x:c>
      <x:c r="J43" s="28" t="n">
        <x:v>25.200000000000017</x:v>
      </x:c>
      <x:c r="K43" s="27"/>
      <x:c r="L43" s="31" t="str">
        <x:v>ADP NOT LOADED</x:v>
      </x:c>
      <x:c r="M43" s="26" t="str">
        <x:v>Projection-only v1.0</x:v>
      </x:c>
    </x:row>
    <x:row r="44">
      <x:c r="A44" s="26" t="n">
        <x:v>40</x:v>
      </x:c>
      <x:c r="B44" s="26" t="n">
        <x:v>4</x:v>
      </x:c>
      <x:c r="C44" s="26" t="n">
        <x:v>40</x:v>
      </x:c>
      <x:c r="D44" s="26" t="str">
        <x:v>Jordan Addison</x:v>
      </x:c>
      <x:c r="E44" s="26" t="str">
        <x:v>MIN</x:v>
      </x:c>
      <x:c r="F44" s="26" t="str">
        <x:v>WR</x:v>
      </x:c>
      <x:c r="G44" s="28" t="n">
        <x:v>135.2</x:v>
      </x:c>
      <x:c r="H44" s="28" t="n">
        <x:v>24.599999999999994</x:v>
      </x:c>
      <x:c r="I44" s="28" t="n">
        <x:v>0</x:v>
      </x:c>
      <x:c r="J44" s="28" t="n">
        <x:v>24.599999999999994</x:v>
      </x:c>
      <x:c r="K44" s="27"/>
      <x:c r="L44" s="31" t="str">
        <x:v>ADP NOT LOADED</x:v>
      </x:c>
      <x:c r="M44" s="26" t="str">
        <x:v>Projection-only v1.0</x:v>
      </x:c>
    </x:row>
    <x:row r="45">
      <x:c r="A45" s="26" t="n">
        <x:v>41</x:v>
      </x:c>
      <x:c r="B45" s="26" t="n">
        <x:v>4</x:v>
      </x:c>
      <x:c r="C45" s="26" t="n">
        <x:v>41</x:v>
      </x:c>
      <x:c r="D45" s="26" t="str">
        <x:v>Alec Pierce</x:v>
      </x:c>
      <x:c r="E45" s="26" t="str">
        <x:v>IND</x:v>
      </x:c>
      <x:c r="F45" s="26" t="str">
        <x:v>WR</x:v>
      </x:c>
      <x:c r="G45" s="28" t="n">
        <x:v>136.4</x:v>
      </x:c>
      <x:c r="H45" s="28" t="n">
        <x:v>25.80000000000001</x:v>
      </x:c>
      <x:c r="I45" s="28" t="n">
        <x:v>0</x:v>
      </x:c>
      <x:c r="J45" s="28" t="n">
        <x:v>25.80000000000001</x:v>
      </x:c>
      <x:c r="K45" s="27"/>
      <x:c r="L45" s="31" t="str">
        <x:v>ADP NOT LOADED</x:v>
      </x:c>
      <x:c r="M45" s="26" t="str">
        <x:v>Projection-only v1.0</x:v>
      </x:c>
    </x:row>
    <x:row r="46">
      <x:c r="A46" s="26" t="n">
        <x:v>42</x:v>
      </x:c>
      <x:c r="B46" s="26" t="n">
        <x:v>4</x:v>
      </x:c>
      <x:c r="C46" s="26" t="n">
        <x:v>42</x:v>
      </x:c>
      <x:c r="D46" s="26" t="str">
        <x:v>Jakobi Meyers</x:v>
      </x:c>
      <x:c r="E46" s="26" t="str">
        <x:v>JAX</x:v>
      </x:c>
      <x:c r="F46" s="26" t="str">
        <x:v>WR</x:v>
      </x:c>
      <x:c r="G46" s="28" t="n">
        <x:v>126.5</x:v>
      </x:c>
      <x:c r="H46" s="28" t="n">
        <x:v>15.900000000000006</x:v>
      </x:c>
      <x:c r="I46" s="28" t="n">
        <x:v>0</x:v>
      </x:c>
      <x:c r="J46" s="28" t="n">
        <x:v>15.900000000000006</x:v>
      </x:c>
      <x:c r="K46" s="27"/>
      <x:c r="L46" s="31" t="str">
        <x:v>ADP NOT LOADED</x:v>
      </x:c>
      <x:c r="M46" s="26" t="str">
        <x:v>Projection-only v1.0</x:v>
      </x:c>
    </x:row>
    <x:row r="47">
      <x:c r="A47" s="26" t="n">
        <x:v>43</x:v>
      </x:c>
      <x:c r="B47" s="26" t="n">
        <x:v>4</x:v>
      </x:c>
      <x:c r="C47" s="26" t="n">
        <x:v>43</x:v>
      </x:c>
      <x:c r="D47" s="26" t="str">
        <x:v>Josh Downs</x:v>
      </x:c>
      <x:c r="E47" s="26" t="str">
        <x:v>IND</x:v>
      </x:c>
      <x:c r="F47" s="26" t="str">
        <x:v>WR</x:v>
      </x:c>
      <x:c r="G47" s="28" t="n">
        <x:v>122.3</x:v>
      </x:c>
      <x:c r="H47" s="28" t="n">
        <x:v>11.700000000000003</x:v>
      </x:c>
      <x:c r="I47" s="28" t="n">
        <x:v>0</x:v>
      </x:c>
      <x:c r="J47" s="28" t="n">
        <x:v>11.700000000000003</x:v>
      </x:c>
      <x:c r="K47" s="27"/>
      <x:c r="L47" s="31" t="str">
        <x:v>ADP NOT LOADED</x:v>
      </x:c>
      <x:c r="M47" s="26" t="str">
        <x:v>Projection-only v1.0</x:v>
      </x:c>
    </x:row>
    <x:row r="48">
      <x:c r="A48" s="26" t="n">
        <x:v>44</x:v>
      </x:c>
      <x:c r="B48" s="26" t="n">
        <x:v>4</x:v>
      </x:c>
      <x:c r="C48" s="26" t="n">
        <x:v>44</x:v>
      </x:c>
      <x:c r="D48" s="26" t="str">
        <x:v>Stefon Diggs</x:v>
      </x:c>
      <x:c r="E48" s="26" t="str">
        <x:v>WAS</x:v>
      </x:c>
      <x:c r="F48" s="26" t="str">
        <x:v>WR</x:v>
      </x:c>
      <x:c r="G48" s="28" t="n">
        <x:v>124.3</x:v>
      </x:c>
      <x:c r="H48" s="28" t="n">
        <x:v>13.700000000000003</x:v>
      </x:c>
      <x:c r="I48" s="28" t="n">
        <x:v>0</x:v>
      </x:c>
      <x:c r="J48" s="28" t="n">
        <x:v>13.700000000000003</x:v>
      </x:c>
      <x:c r="K48" s="27"/>
      <x:c r="L48" s="31" t="str">
        <x:v>ADP NOT LOADED</x:v>
      </x:c>
      <x:c r="M48" s="26" t="str">
        <x:v>Projection-only v1.0</x:v>
      </x:c>
    </x:row>
    <x:row r="49">
      <x:c r="A49" s="26" t="n">
        <x:v>45</x:v>
      </x:c>
      <x:c r="B49" s="26" t="n">
        <x:v>4</x:v>
      </x:c>
      <x:c r="C49" s="26" t="n">
        <x:v>45</x:v>
      </x:c>
      <x:c r="D49" s="26" t="str">
        <x:v>Tre Tucker</x:v>
      </x:c>
      <x:c r="E49" s="26" t="str">
        <x:v>LV</x:v>
      </x:c>
      <x:c r="F49" s="26" t="str">
        <x:v>WR</x:v>
      </x:c>
      <x:c r="G49" s="28" t="n">
        <x:v>117.4</x:v>
      </x:c>
      <x:c r="H49" s="28" t="n">
        <x:v>6.800000000000011</x:v>
      </x:c>
      <x:c r="I49" s="28" t="n">
        <x:v>0</x:v>
      </x:c>
      <x:c r="J49" s="28" t="n">
        <x:v>6.800000000000011</x:v>
      </x:c>
      <x:c r="K49" s="27"/>
      <x:c r="L49" s="31" t="str">
        <x:v>ADP NOT LOADED</x:v>
      </x:c>
      <x:c r="M49" s="26" t="str">
        <x:v>Projection-only v1.0</x:v>
      </x:c>
    </x:row>
    <x:row r="50">
      <x:c r="A50" s="26" t="n">
        <x:v>46</x:v>
      </x:c>
      <x:c r="B50" s="26" t="n">
        <x:v>4</x:v>
      </x:c>
      <x:c r="C50" s="26" t="n">
        <x:v>46</x:v>
      </x:c>
      <x:c r="D50" s="26" t="str">
        <x:v>Xavier Worthy</x:v>
      </x:c>
      <x:c r="E50" s="26" t="str">
        <x:v>KC</x:v>
      </x:c>
      <x:c r="F50" s="26" t="str">
        <x:v>WR</x:v>
      </x:c>
      <x:c r="G50" s="28" t="n">
        <x:v>120</x:v>
      </x:c>
      <x:c r="H50" s="28" t="n">
        <x:v>9.400000000000006</x:v>
      </x:c>
      <x:c r="I50" s="28" t="n">
        <x:v>0</x:v>
      </x:c>
      <x:c r="J50" s="28" t="n">
        <x:v>9.400000000000006</x:v>
      </x:c>
      <x:c r="K50" s="27"/>
      <x:c r="L50" s="31" t="str">
        <x:v>ADP NOT LOADED</x:v>
      </x:c>
      <x:c r="M50" s="26" t="str">
        <x:v>Projection-only v1.0</x:v>
      </x:c>
    </x:row>
    <x:row r="51">
      <x:c r="A51" s="26" t="n">
        <x:v>47</x:v>
      </x:c>
      <x:c r="B51" s="26" t="n">
        <x:v>4</x:v>
      </x:c>
      <x:c r="C51" s="26" t="n">
        <x:v>47</x:v>
      </x:c>
      <x:c r="D51" s="26" t="str">
        <x:v>Quentin Johnston</x:v>
      </x:c>
      <x:c r="E51" s="26" t="str">
        <x:v>LAC</x:v>
      </x:c>
      <x:c r="F51" s="26" t="str">
        <x:v>WR</x:v>
      </x:c>
      <x:c r="G51" s="28" t="n">
        <x:v>116.8</x:v>
      </x:c>
      <x:c r="H51" s="28" t="n">
        <x:v>6.200000000000003</x:v>
      </x:c>
      <x:c r="I51" s="28" t="n">
        <x:v>0</x:v>
      </x:c>
      <x:c r="J51" s="28" t="n">
        <x:v>6.200000000000003</x:v>
      </x:c>
      <x:c r="K51" s="27"/>
      <x:c r="L51" s="31" t="str">
        <x:v>ADP NOT LOADED</x:v>
      </x:c>
      <x:c r="M51" s="26" t="str">
        <x:v>Projection-only v1.0</x:v>
      </x:c>
    </x:row>
    <x:row r="52">
      <x:c r="A52" s="26" t="n">
        <x:v>48</x:v>
      </x:c>
      <x:c r="B52" s="26" t="n">
        <x:v>4</x:v>
      </x:c>
      <x:c r="C52" s="26" t="n">
        <x:v>48</x:v>
      </x:c>
      <x:c r="D52" s="26" t="str">
        <x:v>Chris Godwin Jr.</x:v>
      </x:c>
      <x:c r="E52" s="26" t="str">
        <x:v>TB</x:v>
      </x:c>
      <x:c r="F52" s="26" t="str">
        <x:v>WR</x:v>
      </x:c>
      <x:c r="G52" s="28" t="n">
        <x:v>109.2</x:v>
      </x:c>
      <x:c r="H52" s="28" t="n">
        <x:v>-1.3999999999999915</x:v>
      </x:c>
      <x:c r="I52" s="28" t="n">
        <x:v>0</x:v>
      </x:c>
      <x:c r="J52" s="28" t="n">
        <x:v>-1.3999999999999915</x:v>
      </x:c>
      <x:c r="K52" s="27"/>
      <x:c r="L52" s="31" t="str">
        <x:v>ADP NOT LOADED</x:v>
      </x:c>
      <x:c r="M52" s="26" t="str">
        <x:v>Projection-only v1.0</x:v>
      </x:c>
    </x:row>
    <x:row r="53">
      <x:c r="A53" s="26" t="n">
        <x:v>49</x:v>
      </x:c>
      <x:c r="B53" s="26" t="n">
        <x:v>4</x:v>
      </x:c>
      <x:c r="C53" s="26" t="n">
        <x:v>49</x:v>
      </x:c>
      <x:c r="D53" s="26" t="str">
        <x:v>Adonai Mitchell</x:v>
      </x:c>
      <x:c r="E53" s="26" t="str">
        <x:v>NYJ</x:v>
      </x:c>
      <x:c r="F53" s="26" t="str">
        <x:v>WR</x:v>
      </x:c>
      <x:c r="G53" s="28" t="n">
        <x:v>110.6</x:v>
      </x:c>
      <x:c r="H53" s="28" t="n">
        <x:v>0</x:v>
      </x:c>
      <x:c r="I53" s="28" t="n">
        <x:v>0</x:v>
      </x:c>
      <x:c r="J53" s="28" t="n">
        <x:v>0</x:v>
      </x:c>
      <x:c r="K53" s="27"/>
      <x:c r="L53" s="31" t="str">
        <x:v>ADP NOT LOADED</x:v>
      </x:c>
      <x:c r="M53" s="26" t="str">
        <x:v>Projection-only v1.0</x:v>
      </x:c>
    </x:row>
    <x:row r="54">
      <x:c r="A54" s="26" t="n">
        <x:v>50</x:v>
      </x:c>
      <x:c r="B54" s="26" t="n">
        <x:v>4</x:v>
      </x:c>
      <x:c r="C54" s="26" t="n">
        <x:v>50</x:v>
      </x:c>
      <x:c r="D54" s="26" t="str">
        <x:v>Carnell Tate</x:v>
      </x:c>
      <x:c r="E54" s="26" t="str">
        <x:v>TEN</x:v>
      </x:c>
      <x:c r="F54" s="26" t="str">
        <x:v>WR</x:v>
      </x:c>
      <x:c r="G54" s="28" t="n">
        <x:v>109.8</x:v>
      </x:c>
      <x:c r="H54" s="28" t="n">
        <x:v>-0.7999999999999972</x:v>
      </x:c>
      <x:c r="I54" s="28" t="n">
        <x:v>0</x:v>
      </x:c>
      <x:c r="J54" s="28" t="n">
        <x:v>-0.7999999999999972</x:v>
      </x:c>
      <x:c r="K54" s="27"/>
      <x:c r="L54" s="31" t="str">
        <x:v>ADP NOT LOADED</x:v>
      </x:c>
      <x:c r="M54" s="26" t="str">
        <x:v>Projection-only v1.0</x:v>
      </x:c>
    </x:row>
    <x:row r="55">
      <x:c r="A55" s="26" t="n">
        <x:v>51</x:v>
      </x:c>
      <x:c r="B55" s="26" t="n">
        <x:v>4</x:v>
      </x:c>
      <x:c r="C55" s="26" t="n">
        <x:v>51</x:v>
      </x:c>
      <x:c r="D55" s="26" t="str">
        <x:v>Khalil Shakir</x:v>
      </x:c>
      <x:c r="E55" s="26" t="str">
        <x:v>BUF</x:v>
      </x:c>
      <x:c r="F55" s="26" t="str">
        <x:v>WR</x:v>
      </x:c>
      <x:c r="G55" s="28" t="n">
        <x:v>105.2</x:v>
      </x:c>
      <x:c r="H55" s="28" t="n">
        <x:v>-5.3999999999999915</x:v>
      </x:c>
      <x:c r="I55" s="28" t="n">
        <x:v>0</x:v>
      </x:c>
      <x:c r="J55" s="28" t="n">
        <x:v>-5.3999999999999915</x:v>
      </x:c>
      <x:c r="K55" s="27"/>
      <x:c r="L55" s="31" t="str">
        <x:v>ADP NOT LOADED</x:v>
      </x:c>
      <x:c r="M55" s="26" t="str">
        <x:v>Projection-only v1.0</x:v>
      </x:c>
    </x:row>
    <x:row r="56">
      <x:c r="A56" s="26" t="n">
        <x:v>52</x:v>
      </x:c>
      <x:c r="B56" s="26" t="n">
        <x:v>4</x:v>
      </x:c>
      <x:c r="C56" s="26" t="n">
        <x:v>52</x:v>
      </x:c>
      <x:c r="D56" s="26" t="str">
        <x:v>Jerry Jeudy</x:v>
      </x:c>
      <x:c r="E56" s="26" t="str">
        <x:v>CLE</x:v>
      </x:c>
      <x:c r="F56" s="26" t="str">
        <x:v>WR</x:v>
      </x:c>
      <x:c r="G56" s="28" t="n">
        <x:v>106.5</x:v>
      </x:c>
      <x:c r="H56" s="28" t="n">
        <x:v>-4.099999999999994</x:v>
      </x:c>
      <x:c r="I56" s="28" t="n">
        <x:v>0</x:v>
      </x:c>
      <x:c r="J56" s="28" t="n">
        <x:v>-4.099999999999994</x:v>
      </x:c>
      <x:c r="K56" s="27"/>
      <x:c r="L56" s="31" t="str">
        <x:v>ADP NOT LOADED</x:v>
      </x:c>
      <x:c r="M56" s="26" t="str">
        <x:v>Projection-only v1.0</x:v>
      </x:c>
    </x:row>
    <x:row r="57">
      <x:c r="A57" s="26" t="n">
        <x:v>53</x:v>
      </x:c>
      <x:c r="B57" s="26" t="n">
        <x:v>4</x:v>
      </x:c>
      <x:c r="C57" s="26" t="n">
        <x:v>53</x:v>
      </x:c>
      <x:c r="D57" s="26" t="str">
        <x:v>Denzel Boston</x:v>
      </x:c>
      <x:c r="E57" s="26" t="str">
        <x:v>CLE</x:v>
      </x:c>
      <x:c r="F57" s="26" t="str">
        <x:v>WR</x:v>
      </x:c>
      <x:c r="G57" s="28" t="n">
        <x:v>104.1</x:v>
      </x:c>
      <x:c r="H57" s="28" t="n">
        <x:v>-6.5</x:v>
      </x:c>
      <x:c r="I57" s="28" t="n">
        <x:v>0</x:v>
      </x:c>
      <x:c r="J57" s="28" t="n">
        <x:v>-6.5</x:v>
      </x:c>
      <x:c r="K57" s="27"/>
      <x:c r="L57" s="31" t="str">
        <x:v>ADP NOT LOADED</x:v>
      </x:c>
      <x:c r="M57" s="26" t="str">
        <x:v>Projection-only v1.0</x:v>
      </x:c>
    </x:row>
    <x:row r="58">
      <x:c r="A58" s="26" t="n">
        <x:v>54</x:v>
      </x:c>
      <x:c r="B58" s="26" t="n">
        <x:v>4</x:v>
      </x:c>
      <x:c r="C58" s="26" t="n">
        <x:v>54</x:v>
      </x:c>
      <x:c r="D58" s="26" t="str">
        <x:v>Rashid Shaheed</x:v>
      </x:c>
      <x:c r="E58" s="26" t="str">
        <x:v>SEA</x:v>
      </x:c>
      <x:c r="F58" s="26" t="str">
        <x:v>WR</x:v>
      </x:c>
      <x:c r="G58" s="28" t="n">
        <x:v>108</x:v>
      </x:c>
      <x:c r="H58" s="28" t="n">
        <x:v>-2.5999999999999943</x:v>
      </x:c>
      <x:c r="I58" s="28" t="n">
        <x:v>0</x:v>
      </x:c>
      <x:c r="J58" s="28" t="n">
        <x:v>-2.5999999999999943</x:v>
      </x:c>
      <x:c r="K58" s="27"/>
      <x:c r="L58" s="31" t="str">
        <x:v>ADP NOT LOADED</x:v>
      </x:c>
      <x:c r="M58" s="26" t="str">
        <x:v>Projection-only v1.0</x:v>
      </x:c>
    </x:row>
    <x:row r="59">
      <x:c r="A59" s="26" t="n">
        <x:v>55</x:v>
      </x:c>
      <x:c r="B59" s="26" t="n">
        <x:v>4</x:v>
      </x:c>
      <x:c r="C59" s="26" t="n">
        <x:v>55</x:v>
      </x:c>
      <x:c r="D59" s="26" t="str">
        <x:v>Jauan Jennings</x:v>
      </x:c>
      <x:c r="E59" s="26" t="str">
        <x:v>MIN</x:v>
      </x:c>
      <x:c r="F59" s="26" t="str">
        <x:v>WR</x:v>
      </x:c>
      <x:c r="G59" s="28" t="n">
        <x:v>102.6</x:v>
      </x:c>
      <x:c r="H59" s="28" t="n">
        <x:v>-8</x:v>
      </x:c>
      <x:c r="I59" s="28" t="n">
        <x:v>0</x:v>
      </x:c>
      <x:c r="J59" s="28" t="n">
        <x:v>-8</x:v>
      </x:c>
      <x:c r="K59" s="27"/>
      <x:c r="L59" s="31" t="str">
        <x:v>ADP NOT LOADED</x:v>
      </x:c>
      <x:c r="M59" s="26" t="str">
        <x:v>Projection-only v1.0</x:v>
      </x:c>
    </x:row>
    <x:row r="60">
      <x:c r="A60" s="26" t="n">
        <x:v>56</x:v>
      </x:c>
      <x:c r="B60" s="26" t="n">
        <x:v>4</x:v>
      </x:c>
      <x:c r="C60" s="26" t="n">
        <x:v>56</x:v>
      </x:c>
      <x:c r="D60" s="26" t="str">
        <x:v>Tre' Harris</x:v>
      </x:c>
      <x:c r="E60" s="26" t="str">
        <x:v>LAC</x:v>
      </x:c>
      <x:c r="F60" s="26" t="str">
        <x:v>WR</x:v>
      </x:c>
      <x:c r="G60" s="28" t="n">
        <x:v>100.8</x:v>
      </x:c>
      <x:c r="H60" s="28" t="n">
        <x:v>-9.799999999999997</x:v>
      </x:c>
      <x:c r="I60" s="28" t="n">
        <x:v>0</x:v>
      </x:c>
      <x:c r="J60" s="28" t="n">
        <x:v>-9.799999999999997</x:v>
      </x:c>
      <x:c r="K60" s="27"/>
      <x:c r="L60" s="31" t="str">
        <x:v>ADP NOT LOADED</x:v>
      </x:c>
      <x:c r="M60" s="26" t="str">
        <x:v>Projection-only v1.0</x:v>
      </x:c>
    </x:row>
    <x:row r="61">
      <x:c r="A61" s="26" t="n">
        <x:v>57</x:v>
      </x:c>
      <x:c r="B61" s="26" t="n">
        <x:v>4</x:v>
      </x:c>
      <x:c r="C61" s="26" t="n">
        <x:v>57</x:v>
      </x:c>
      <x:c r="D61" s="26" t="str">
        <x:v>Keenan Allen</x:v>
      </x:c>
      <x:c r="E61" s="26" t="str">
        <x:v>IND</x:v>
      </x:c>
      <x:c r="F61" s="26" t="str">
        <x:v>WR</x:v>
      </x:c>
      <x:c r="G61" s="28" t="n">
        <x:v>97.2</x:v>
      </x:c>
      <x:c r="H61" s="28" t="n">
        <x:v>-13.399999999999991</x:v>
      </x:c>
      <x:c r="I61" s="28" t="n">
        <x:v>0</x:v>
      </x:c>
      <x:c r="J61" s="28" t="n">
        <x:v>-13.399999999999991</x:v>
      </x:c>
      <x:c r="K61" s="27"/>
      <x:c r="L61" s="31" t="str">
        <x:v>ADP NOT LOADED</x:v>
      </x:c>
      <x:c r="M61" s="26" t="str">
        <x:v>Projection-only v1.0</x:v>
      </x:c>
    </x:row>
    <x:row r="62">
      <x:c r="A62" s="26" t="n">
        <x:v>58</x:v>
      </x:c>
      <x:c r="B62" s="26" t="n">
        <x:v>4</x:v>
      </x:c>
      <x:c r="C62" s="26" t="n">
        <x:v>58</x:v>
      </x:c>
      <x:c r="D62" s="26" t="str">
        <x:v>KC Concepcion</x:v>
      </x:c>
      <x:c r="E62" s="26" t="str">
        <x:v>CLE</x:v>
      </x:c>
      <x:c r="F62" s="26" t="str">
        <x:v>WR</x:v>
      </x:c>
      <x:c r="G62" s="28" t="n">
        <x:v>97</x:v>
      </x:c>
      <x:c r="H62" s="28" t="n">
        <x:v>-13.599999999999994</x:v>
      </x:c>
      <x:c r="I62" s="28" t="n">
        <x:v>0</x:v>
      </x:c>
      <x:c r="J62" s="28" t="n">
        <x:v>-13.599999999999994</x:v>
      </x:c>
      <x:c r="K62" s="27"/>
      <x:c r="L62" s="31" t="str">
        <x:v>ADP NOT LOADED</x:v>
      </x:c>
      <x:c r="M62" s="26" t="str">
        <x:v>Projection-only v1.0</x:v>
      </x:c>
    </x:row>
    <x:row r="63">
      <x:c r="A63" s="26" t="n">
        <x:v>59</x:v>
      </x:c>
      <x:c r="B63" s="26" t="n">
        <x:v>4</x:v>
      </x:c>
      <x:c r="C63" s="26" t="n">
        <x:v>59</x:v>
      </x:c>
      <x:c r="D63" s="26" t="str">
        <x:v>Calvin Ridley</x:v>
      </x:c>
      <x:c r="E63" s="26" t="str">
        <x:v>TEN</x:v>
      </x:c>
      <x:c r="F63" s="26" t="str">
        <x:v>WR</x:v>
      </x:c>
      <x:c r="G63" s="28" t="n">
        <x:v>98.8</x:v>
      </x:c>
      <x:c r="H63" s="28" t="n">
        <x:v>-11.799999999999997</x:v>
      </x:c>
      <x:c r="I63" s="28" t="n">
        <x:v>0</x:v>
      </x:c>
      <x:c r="J63" s="28" t="n">
        <x:v>-11.799999999999997</x:v>
      </x:c>
      <x:c r="K63" s="27"/>
      <x:c r="L63" s="31" t="str">
        <x:v>ADP NOT LOADED</x:v>
      </x:c>
      <x:c r="M63" s="26" t="str">
        <x:v>Projection-only v1.0</x:v>
      </x:c>
    </x:row>
    <x:row r="64">
      <x:c r="A64" s="26" t="n">
        <x:v>60</x:v>
      </x:c>
      <x:c r="B64" s="26" t="n">
        <x:v>4</x:v>
      </x:c>
      <x:c r="C64" s="26" t="n">
        <x:v>60</x:v>
      </x:c>
      <x:c r="D64" s="26" t="str">
        <x:v>Jalen Nailor</x:v>
      </x:c>
      <x:c r="E64" s="26" t="str">
        <x:v>LV</x:v>
      </x:c>
      <x:c r="F64" s="26" t="str">
        <x:v>WR</x:v>
      </x:c>
      <x:c r="G64" s="28" t="n">
        <x:v>95.2</x:v>
      </x:c>
      <x:c r="H64" s="28" t="n">
        <x:v>-15.399999999999991</x:v>
      </x:c>
      <x:c r="I64" s="28" t="n">
        <x:v>0</x:v>
      </x:c>
      <x:c r="J64" s="28" t="n">
        <x:v>-15.399999999999991</x:v>
      </x:c>
      <x:c r="K64" s="27"/>
      <x:c r="L64" s="31" t="str">
        <x:v>ADP NOT LOADED</x:v>
      </x:c>
      <x:c r="M64" s="26" t="str">
        <x:v>Projection-only v1.0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Makai Lemon</x:v>
      </x:c>
      <x:c r="E65" s="26" t="str">
        <x:v>PHI</x:v>
      </x:c>
      <x:c r="F65" s="26" t="str">
        <x:v>WR</x:v>
      </x:c>
      <x:c r="G65" s="28" t="n">
        <x:v>89.3</x:v>
      </x:c>
      <x:c r="H65" s="28" t="n">
        <x:v>-21.299999999999997</x:v>
      </x:c>
      <x:c r="I65" s="28" t="n">
        <x:v>0</x:v>
      </x:c>
      <x:c r="J65" s="28" t="n">
        <x:v>-21.299999999999997</x:v>
      </x:c>
      <x:c r="K65" s="27"/>
      <x:c r="L65" s="31" t="str">
        <x:v>ADP NOT LOADED</x:v>
      </x:c>
      <x:c r="M65" s="26" t="str">
        <x:v>Projection-only v1.0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John Metchie III</x:v>
      </x:c>
      <x:c r="E66" s="26" t="str">
        <x:v>CAR</x:v>
      </x:c>
      <x:c r="F66" s="26" t="str">
        <x:v>WR</x:v>
      </x:c>
      <x:c r="G66" s="28" t="n">
        <x:v>81.6</x:v>
      </x:c>
      <x:c r="H66" s="28" t="n">
        <x:v>-29</x:v>
      </x:c>
      <x:c r="I66" s="28" t="n">
        <x:v>0</x:v>
      </x:c>
      <x:c r="J66" s="28" t="n">
        <x:v>-29</x:v>
      </x:c>
      <x:c r="K66" s="27"/>
      <x:c r="L66" s="31" t="str">
        <x:v>ADP NOT LOADED</x:v>
      </x:c>
      <x:c r="M66" s="26" t="str">
        <x:v>Projection-only v1.0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Zachariah Branch</x:v>
      </x:c>
      <x:c r="E67" s="26" t="str">
        <x:v>ATL</x:v>
      </x:c>
      <x:c r="F67" s="26" t="str">
        <x:v>WR</x:v>
      </x:c>
      <x:c r="G67" s="28" t="n">
        <x:v>82</x:v>
      </x:c>
      <x:c r="H67" s="28" t="n">
        <x:v>-28.599999999999994</x:v>
      </x:c>
      <x:c r="I67" s="28" t="n">
        <x:v>0</x:v>
      </x:c>
      <x:c r="J67" s="28" t="n">
        <x:v>-28.599999999999994</x:v>
      </x:c>
      <x:c r="K67" s="27"/>
      <x:c r="L67" s="31" t="str">
        <x:v>ADP NOT LOADED</x:v>
      </x:c>
      <x:c r="M67" s="26" t="str">
        <x:v>Projection-only v1.0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Jayden Higgins</x:v>
      </x:c>
      <x:c r="E68" s="26" t="str">
        <x:v>HOU</x:v>
      </x:c>
      <x:c r="F68" s="26" t="str">
        <x:v>WR</x:v>
      </x:c>
      <x:c r="G68" s="28" t="n">
        <x:v>83.9</x:v>
      </x:c>
      <x:c r="H68" s="28" t="n">
        <x:v>-26.69999999999999</x:v>
      </x:c>
      <x:c r="I68" s="28" t="n">
        <x:v>0</x:v>
      </x:c>
      <x:c r="J68" s="28" t="n">
        <x:v>-26.69999999999999</x:v>
      </x:c>
      <x:c r="K68" s="27"/>
      <x:c r="L68" s="31" t="str">
        <x:v>ADP NOT LOADED</x:v>
      </x:c>
      <x:c r="M68" s="26" t="str">
        <x:v>Projection-only v1.0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Deebo Samuel Sr.</x:v>
      </x:c>
      <x:c r="E69" s="26" t="str">
        <x:v>SF</x:v>
      </x:c>
      <x:c r="F69" s="26" t="str">
        <x:v>WR</x:v>
      </x:c>
      <x:c r="G69" s="28" t="n">
        <x:v>85.4</x:v>
      </x:c>
      <x:c r="H69" s="28" t="n">
        <x:v>-25.19999999999999</x:v>
      </x:c>
      <x:c r="I69" s="28" t="n">
        <x:v>0</x:v>
      </x:c>
      <x:c r="J69" s="28" t="n">
        <x:v>-25.19999999999999</x:v>
      </x:c>
      <x:c r="K69" s="27"/>
      <x:c r="L69" s="31" t="str">
        <x:v>ADP NOT LOADED</x:v>
      </x:c>
      <x:c r="M69" s="26" t="str">
        <x:v>Projection-only v1.0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Jalen Coker</x:v>
      </x:c>
      <x:c r="E70" s="26" t="str">
        <x:v>CAR</x:v>
      </x:c>
      <x:c r="F70" s="26" t="str">
        <x:v>WR</x:v>
      </x:c>
      <x:c r="G70" s="28" t="n">
        <x:v>80.6</x:v>
      </x:c>
      <x:c r="H70" s="28" t="n">
        <x:v>-30</x:v>
      </x:c>
      <x:c r="I70" s="28" t="n">
        <x:v>0</x:v>
      </x:c>
      <x:c r="J70" s="28" t="n">
        <x:v>-30</x:v>
      </x:c>
      <x:c r="K70" s="27"/>
      <x:c r="L70" s="31" t="str">
        <x:v>ADP NOT LOADED</x:v>
      </x:c>
      <x:c r="M70" s="26" t="str">
        <x:v>Projection-only v1.0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Romeo Doubs</x:v>
      </x:c>
      <x:c r="E71" s="26" t="str">
        <x:v>NE</x:v>
      </x:c>
      <x:c r="F71" s="26" t="str">
        <x:v>WR</x:v>
      </x:c>
      <x:c r="G71" s="28" t="n">
        <x:v>82.2</x:v>
      </x:c>
      <x:c r="H71" s="28" t="n">
        <x:v>-28.39999999999999</x:v>
      </x:c>
      <x:c r="I71" s="28" t="n">
        <x:v>0</x:v>
      </x:c>
      <x:c r="J71" s="28" t="n">
        <x:v>-28.39999999999999</x:v>
      </x:c>
      <x:c r="K71" s="27"/>
      <x:c r="L71" s="31" t="str">
        <x:v>ADP NOT LOADED</x:v>
      </x:c>
      <x:c r="M71" s="26" t="str">
        <x:v>Projection-only v1.0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Tank Dell</x:v>
      </x:c>
      <x:c r="E72" s="26" t="str">
        <x:v>HOU</x:v>
      </x:c>
      <x:c r="F72" s="26" t="str">
        <x:v>WR</x:v>
      </x:c>
      <x:c r="G72" s="28" t="n">
        <x:v>80.8</x:v>
      </x:c>
      <x:c r="H72" s="28" t="n">
        <x:v>-29.799999999999997</x:v>
      </x:c>
      <x:c r="I72" s="28" t="n">
        <x:v>0</x:v>
      </x:c>
      <x:c r="J72" s="28" t="n">
        <x:v>-29.799999999999997</x:v>
      </x:c>
      <x:c r="K72" s="27"/>
      <x:c r="L72" s="31" t="str">
        <x:v>ADP NOT LOADED</x:v>
      </x:c>
      <x:c r="M72" s="26" t="str">
        <x:v>Projection-only v1.0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Omar Cooper Jr.</x:v>
      </x:c>
      <x:c r="E73" s="26" t="str">
        <x:v>NYJ</x:v>
      </x:c>
      <x:c r="F73" s="26" t="str">
        <x:v>WR</x:v>
      </x:c>
      <x:c r="G73" s="28" t="n">
        <x:v>75.8</x:v>
      </x:c>
      <x:c r="H73" s="28" t="n">
        <x:v>-34.8</x:v>
      </x:c>
      <x:c r="I73" s="28" t="n">
        <x:v>0</x:v>
      </x:c>
      <x:c r="J73" s="28" t="n">
        <x:v>-34.8</x:v>
      </x:c>
      <x:c r="K73" s="27"/>
      <x:c r="L73" s="31" t="str">
        <x:v>ADP NOT LOADED</x:v>
      </x:c>
      <x:c r="M73" s="26" t="str">
        <x:v>Projection-only v1.0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Jalen McMillan</x:v>
      </x:c>
      <x:c r="E74" s="26" t="str">
        <x:v>TB</x:v>
      </x:c>
      <x:c r="F74" s="26" t="str">
        <x:v>WR</x:v>
      </x:c>
      <x:c r="G74" s="28" t="n">
        <x:v>79.5</x:v>
      </x:c>
      <x:c r="H74" s="28" t="n">
        <x:v>-31.099999999999994</x:v>
      </x:c>
      <x:c r="I74" s="28" t="n">
        <x:v>0</x:v>
      </x:c>
      <x:c r="J74" s="28" t="n">
        <x:v>-31.099999999999994</x:v>
      </x:c>
      <x:c r="K74" s="27"/>
      <x:c r="L74" s="31" t="str">
        <x:v>ADP NOT LOADED</x:v>
      </x:c>
      <x:c r="M74" s="26" t="str">
        <x:v>Projection-only v1.0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Andrei Iosivas</x:v>
      </x:c>
      <x:c r="E75" s="26" t="str">
        <x:v>CIN</x:v>
      </x:c>
      <x:c r="F75" s="26" t="str">
        <x:v>WR</x:v>
      </x:c>
      <x:c r="G75" s="28" t="n">
        <x:v>74.9</x:v>
      </x:c>
      <x:c r="H75" s="28" t="n">
        <x:v>-35.69999999999999</x:v>
      </x:c>
      <x:c r="I75" s="28" t="n">
        <x:v>0</x:v>
      </x:c>
      <x:c r="J75" s="28" t="n">
        <x:v>-35.69999999999999</x:v>
      </x:c>
      <x:c r="K75" s="27"/>
      <x:c r="L75" s="31" t="str">
        <x:v>ADP NOT LOADED</x:v>
      </x:c>
      <x:c r="M75" s="26" t="str">
        <x:v>Projection-only v1.0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Rashod Bateman</x:v>
      </x:c>
      <x:c r="E76" s="26" t="str">
        <x:v>BAL</x:v>
      </x:c>
      <x:c r="F76" s="26" t="str">
        <x:v>WR</x:v>
      </x:c>
      <x:c r="G76" s="28" t="n">
        <x:v>76.6</x:v>
      </x:c>
      <x:c r="H76" s="28" t="n">
        <x:v>-34</x:v>
      </x:c>
      <x:c r="I76" s="28" t="n">
        <x:v>0</x:v>
      </x:c>
      <x:c r="J76" s="28" t="n">
        <x:v>-34</x:v>
      </x:c>
      <x:c r="K76" s="27"/>
      <x:c r="L76" s="31" t="str">
        <x:v>ADP NOT LOADED</x:v>
      </x:c>
      <x:c r="M76" s="26" t="str">
        <x:v>Projection-only v1.0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Malik Washington</x:v>
      </x:c>
      <x:c r="E77" s="26" t="str">
        <x:v>MIA</x:v>
      </x:c>
      <x:c r="F77" s="26" t="str">
        <x:v>WR</x:v>
      </x:c>
      <x:c r="G77" s="28" t="n">
        <x:v>72</x:v>
      </x:c>
      <x:c r="H77" s="28" t="n">
        <x:v>-38.599999999999994</x:v>
      </x:c>
      <x:c r="I77" s="28" t="n">
        <x:v>0</x:v>
      </x:c>
      <x:c r="J77" s="28" t="n">
        <x:v>-38.599999999999994</x:v>
      </x:c>
      <x:c r="K77" s="27"/>
      <x:c r="L77" s="31" t="str">
        <x:v>ADP NOT LOADED</x:v>
      </x:c>
      <x:c r="M77" s="26" t="str">
        <x:v>Projection-only v1.0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Ted Hurst</x:v>
      </x:c>
      <x:c r="E78" s="26" t="str">
        <x:v>TB</x:v>
      </x:c>
      <x:c r="F78" s="26" t="str">
        <x:v>WR</x:v>
      </x:c>
      <x:c r="G78" s="28" t="n">
        <x:v>73.2</x:v>
      </x:c>
      <x:c r="H78" s="28" t="n">
        <x:v>-37.39999999999999</x:v>
      </x:c>
      <x:c r="I78" s="28" t="n">
        <x:v>0</x:v>
      </x:c>
      <x:c r="J78" s="28" t="n">
        <x:v>-37.39999999999999</x:v>
      </x:c>
      <x:c r="K78" s="27"/>
      <x:c r="L78" s="31" t="str">
        <x:v>ADP NOT LOADED</x:v>
      </x:c>
      <x:c r="M78" s="26" t="str">
        <x:v>Projection-only v1.0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Theo Wease Jr.</x:v>
      </x:c>
      <x:c r="E79" s="26" t="str">
        <x:v>MIA</x:v>
      </x:c>
      <x:c r="F79" s="26" t="str">
        <x:v>WR</x:v>
      </x:c>
      <x:c r="G79" s="28" t="n">
        <x:v>72.8</x:v>
      </x:c>
      <x:c r="H79" s="28" t="n">
        <x:v>-37.8</x:v>
      </x:c>
      <x:c r="I79" s="28" t="n">
        <x:v>0</x:v>
      </x:c>
      <x:c r="J79" s="28" t="n">
        <x:v>-37.8</x:v>
      </x:c>
      <x:c r="K79" s="27"/>
      <x:c r="L79" s="31" t="str">
        <x:v>ADP NOT LOADED</x:v>
      </x:c>
      <x:c r="M79" s="26" t="str">
        <x:v>Projection-only v1.0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Germie Bernard</x:v>
      </x:c>
      <x:c r="E80" s="26" t="str">
        <x:v>PIT</x:v>
      </x:c>
      <x:c r="F80" s="26" t="str">
        <x:v>WR</x:v>
      </x:c>
      <x:c r="G80" s="28" t="n">
        <x:v>68</x:v>
      </x:c>
      <x:c r="H80" s="28" t="n">
        <x:v>-42.599999999999994</x:v>
      </x:c>
      <x:c r="I80" s="28" t="n">
        <x:v>0</x:v>
      </x:c>
      <x:c r="J80" s="28" t="n">
        <x:v>-42.599999999999994</x:v>
      </x:c>
      <x:c r="K80" s="27"/>
      <x:c r="L80" s="31" t="str">
        <x:v>ADP NOT LOADED</x:v>
      </x:c>
      <x:c r="M80" s="26" t="str">
        <x:v>Projection-only v1.0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Christian Kirk</x:v>
      </x:c>
      <x:c r="E81" s="26" t="str">
        <x:v>SF</x:v>
      </x:c>
      <x:c r="F81" s="26" t="str">
        <x:v>WR</x:v>
      </x:c>
      <x:c r="G81" s="28" t="n">
        <x:v>68.2</x:v>
      </x:c>
      <x:c r="H81" s="28" t="n">
        <x:v>-42.39999999999999</x:v>
      </x:c>
      <x:c r="I81" s="28" t="n">
        <x:v>0</x:v>
      </x:c>
      <x:c r="J81" s="28" t="n">
        <x:v>-42.39999999999999</x:v>
      </x:c>
      <x:c r="K81" s="27"/>
      <x:c r="L81" s="31" t="str">
        <x:v>ADP NOT LOADED</x:v>
      </x:c>
      <x:c r="M81" s="26" t="str">
        <x:v>Projection-only v1.0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De'Zhaun Stribling</x:v>
      </x:c>
      <x:c r="E82" s="26" t="str">
        <x:v>SF</x:v>
      </x:c>
      <x:c r="F82" s="26" t="str">
        <x:v>WR</x:v>
      </x:c>
      <x:c r="G82" s="28" t="n">
        <x:v>66.2</x:v>
      </x:c>
      <x:c r="H82" s="28" t="n">
        <x:v>-44.39999999999999</x:v>
      </x:c>
      <x:c r="I82" s="28" t="n">
        <x:v>0</x:v>
      </x:c>
      <x:c r="J82" s="28" t="n">
        <x:v>-44.39999999999999</x:v>
      </x:c>
      <x:c r="K82" s="27"/>
      <x:c r="L82" s="31" t="str">
        <x:v>ADP NOT LOADED</x:v>
      </x:c>
      <x:c r="M82" s="26" t="str">
        <x:v>Projection-only v1.0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Troy Franklin</x:v>
      </x:c>
      <x:c r="E83" s="26" t="str">
        <x:v>DEN</x:v>
      </x:c>
      <x:c r="F83" s="26" t="str">
        <x:v>WR</x:v>
      </x:c>
      <x:c r="G83" s="28" t="n">
        <x:v>64.9</x:v>
      </x:c>
      <x:c r="H83" s="28" t="n">
        <x:v>-45.69999999999999</x:v>
      </x:c>
      <x:c r="I83" s="28" t="n">
        <x:v>0</x:v>
      </x:c>
      <x:c r="J83" s="28" t="n">
        <x:v>-45.69999999999999</x:v>
      </x:c>
      <x:c r="K83" s="27"/>
      <x:c r="L83" s="31" t="str">
        <x:v>ADP NOT LOADED</x:v>
      </x:c>
      <x:c r="M83" s="26" t="str">
        <x:v>Projection-only v1.0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Malik Benson</x:v>
      </x:c>
      <x:c r="E84" s="26" t="str">
        <x:v>LV</x:v>
      </x:c>
      <x:c r="F84" s="26" t="str">
        <x:v>WR</x:v>
      </x:c>
      <x:c r="G84" s="28" t="n">
        <x:v>64.1</x:v>
      </x:c>
      <x:c r="H84" s="28" t="n">
        <x:v>-46.5</x:v>
      </x:c>
      <x:c r="I84" s="28" t="n">
        <x:v>0</x:v>
      </x:c>
      <x:c r="J84" s="28" t="n">
        <x:v>-46.5</x:v>
      </x:c>
      <x:c r="K84" s="27"/>
      <x:c r="L84" s="31" t="str">
        <x:v>ADP NOT LOADED</x:v>
      </x:c>
      <x:c r="M84" s="26" t="str">
        <x:v>Projection-only v1.0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Isaac TeSlaa</x:v>
      </x:c>
      <x:c r="E85" s="26" t="str">
        <x:v>DET</x:v>
      </x:c>
      <x:c r="F85" s="26" t="str">
        <x:v>WR</x:v>
      </x:c>
      <x:c r="G85" s="28" t="n">
        <x:v>66.1</x:v>
      </x:c>
      <x:c r="H85" s="28" t="n">
        <x:v>-44.5</x:v>
      </x:c>
      <x:c r="I85" s="28" t="n">
        <x:v>0</x:v>
      </x:c>
      <x:c r="J85" s="28" t="n">
        <x:v>-44.5</x:v>
      </x:c>
      <x:c r="K85" s="27"/>
      <x:c r="L85" s="31" t="str">
        <x:v>ADP NOT LOADED</x:v>
      </x:c>
      <x:c r="M85" s="26" t="str">
        <x:v>Projection-only v1.0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Ja'Kobi Lane</x:v>
      </x:c>
      <x:c r="E86" s="26" t="str">
        <x:v>BAL</x:v>
      </x:c>
      <x:c r="F86" s="26" t="str">
        <x:v>WR</x:v>
      </x:c>
      <x:c r="G86" s="28" t="n">
        <x:v>66.1</x:v>
      </x:c>
      <x:c r="H86" s="28" t="n">
        <x:v>-44.5</x:v>
      </x:c>
      <x:c r="I86" s="28" t="n">
        <x:v>0</x:v>
      </x:c>
      <x:c r="J86" s="28" t="n">
        <x:v>-44.5</x:v>
      </x:c>
      <x:c r="K86" s="27"/>
      <x:c r="L86" s="31" t="str">
        <x:v>ADP NOT LOADED</x:v>
      </x:c>
      <x:c r="M86" s="26" t="str">
        <x:v>Projection-only v1.0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Dontayvion Wicks</x:v>
      </x:c>
      <x:c r="E87" s="26" t="str">
        <x:v>PHI</x:v>
      </x:c>
      <x:c r="F87" s="26" t="str">
        <x:v>WR</x:v>
      </x:c>
      <x:c r="G87" s="28" t="n">
        <x:v>61.8</x:v>
      </x:c>
      <x:c r="H87" s="28" t="n">
        <x:v>-48.8</x:v>
      </x:c>
      <x:c r="I87" s="28" t="n">
        <x:v>0</x:v>
      </x:c>
      <x:c r="J87" s="28" t="n">
        <x:v>-48.8</x:v>
      </x:c>
      <x:c r="K87" s="27"/>
      <x:c r="L87" s="31" t="str">
        <x:v>ADP NOT LOADED</x:v>
      </x:c>
      <x:c r="M87" s="26" t="str">
        <x:v>Projection-only v1.0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Jack Bech</x:v>
      </x:c>
      <x:c r="E88" s="26" t="str">
        <x:v>LV</x:v>
      </x:c>
      <x:c r="F88" s="26" t="str">
        <x:v>WR</x:v>
      </x:c>
      <x:c r="G88" s="28" t="n">
        <x:v>61</x:v>
      </x:c>
      <x:c r="H88" s="28" t="n">
        <x:v>-49.599999999999994</x:v>
      </x:c>
      <x:c r="I88" s="28" t="n">
        <x:v>0</x:v>
      </x:c>
      <x:c r="J88" s="28" t="n">
        <x:v>-49.599999999999994</x:v>
      </x:c>
      <x:c r="K88" s="27"/>
      <x:c r="L88" s="31" t="str">
        <x:v>ADP NOT LOADED</x:v>
      </x:c>
      <x:c r="M88" s="26" t="str">
        <x:v>Projection-only v1.0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Cooper Kupp</x:v>
      </x:c>
      <x:c r="E89" s="26" t="str">
        <x:v>SEA</x:v>
      </x:c>
      <x:c r="F89" s="26" t="str">
        <x:v>WR</x:v>
      </x:c>
      <x:c r="G89" s="28" t="n">
        <x:v>61.9</x:v>
      </x:c>
      <x:c r="H89" s="28" t="n">
        <x:v>-48.699999999999996</x:v>
      </x:c>
      <x:c r="I89" s="28" t="n">
        <x:v>0</x:v>
      </x:c>
      <x:c r="J89" s="28" t="n">
        <x:v>-48.699999999999996</x:v>
      </x:c>
      <x:c r="K89" s="27"/>
      <x:c r="L89" s="31" t="str">
        <x:v>ADP NOT LOADED</x:v>
      </x:c>
      <x:c r="M89" s="26" t="str">
        <x:v>Projection-only v1.0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Jordyn Tyson</x:v>
      </x:c>
      <x:c r="E90" s="26" t="str">
        <x:v>NO</x:v>
      </x:c>
      <x:c r="F90" s="26" t="str">
        <x:v>WR</x:v>
      </x:c>
      <x:c r="G90" s="28" t="n">
        <x:v>61.3</x:v>
      </x:c>
      <x:c r="H90" s="28" t="n">
        <x:v>-49.3</x:v>
      </x:c>
      <x:c r="I90" s="28" t="n">
        <x:v>0</x:v>
      </x:c>
      <x:c r="J90" s="28" t="n">
        <x:v>-49.3</x:v>
      </x:c>
      <x:c r="K90" s="27"/>
      <x:c r="L90" s="31" t="str">
        <x:v>ADP NOT LOADED</x:v>
      </x:c>
      <x:c r="M90" s="26" t="str">
        <x:v>Projection-only v1.0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Kayshon Boutte</x:v>
      </x:c>
      <x:c r="E91" s="26" t="str">
        <x:v>NE</x:v>
      </x:c>
      <x:c r="F91" s="26" t="str">
        <x:v>WR</x:v>
      </x:c>
      <x:c r="G91" s="28" t="n">
        <x:v>62.8</x:v>
      </x:c>
      <x:c r="H91" s="28" t="n">
        <x:v>-47.8</x:v>
      </x:c>
      <x:c r="I91" s="28" t="n">
        <x:v>0</x:v>
      </x:c>
      <x:c r="J91" s="28" t="n">
        <x:v>-47.8</x:v>
      </x:c>
      <x:c r="K91" s="27"/>
      <x:c r="L91" s="31" t="str">
        <x:v>ADP NOT LOADED</x:v>
      </x:c>
      <x:c r="M91" s="26" t="str">
        <x:v>Projection-only v1.0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Tyquan Thornton</x:v>
      </x:c>
      <x:c r="E92" s="26" t="str">
        <x:v>KC</x:v>
      </x:c>
      <x:c r="F92" s="26" t="str">
        <x:v>WR</x:v>
      </x:c>
      <x:c r="G92" s="28" t="n">
        <x:v>63.5</x:v>
      </x:c>
      <x:c r="H92" s="28" t="n">
        <x:v>-47.099999999999994</x:v>
      </x:c>
      <x:c r="I92" s="28" t="n">
        <x:v>0</x:v>
      </x:c>
      <x:c r="J92" s="28" t="n">
        <x:v>-47.099999999999994</x:v>
      </x:c>
      <x:c r="K92" s="27"/>
      <x:c r="L92" s="31" t="str">
        <x:v>ADP NOT LOADED</x:v>
      </x:c>
      <x:c r="M92" s="26" t="str">
        <x:v>Projection-only v1.0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Devontez Walker</x:v>
      </x:c>
      <x:c r="E93" s="26" t="str">
        <x:v>BAL</x:v>
      </x:c>
      <x:c r="F93" s="26" t="str">
        <x:v>WR</x:v>
      </x:c>
      <x:c r="G93" s="28" t="n">
        <x:v>58.9</x:v>
      </x:c>
      <x:c r="H93" s="28" t="n">
        <x:v>-51.699999999999996</x:v>
      </x:c>
      <x:c r="I93" s="28" t="n">
        <x:v>0</x:v>
      </x:c>
      <x:c r="J93" s="28" t="n">
        <x:v>-51.699999999999996</x:v>
      </x:c>
      <x:c r="K93" s="27"/>
      <x:c r="L93" s="31" t="str">
        <x:v>ADP NOT LOADED</x:v>
      </x:c>
      <x:c r="M93" s="26" t="str">
        <x:v>Projection-only v1.0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Caleb Douglas</x:v>
      </x:c>
      <x:c r="E94" s="26" t="str">
        <x:v>MIA</x:v>
      </x:c>
      <x:c r="F94" s="26" t="str">
        <x:v>WR</x:v>
      </x:c>
      <x:c r="G94" s="28" t="n">
        <x:v>57.4</x:v>
      </x:c>
      <x:c r="H94" s="28" t="n">
        <x:v>-53.199999999999996</x:v>
      </x:c>
      <x:c r="I94" s="28" t="n">
        <x:v>0</x:v>
      </x:c>
      <x:c r="J94" s="28" t="n">
        <x:v>-53.199999999999996</x:v>
      </x:c>
      <x:c r="K94" s="27"/>
      <x:c r="L94" s="31" t="str">
        <x:v>ADP NOT LOADED</x:v>
      </x:c>
      <x:c r="M94" s="26" t="str">
        <x:v>Projection-only v1.0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Ryan Flournoy</x:v>
      </x:c>
      <x:c r="E95" s="26" t="str">
        <x:v>DAL</x:v>
      </x:c>
      <x:c r="F95" s="26" t="str">
        <x:v>WR</x:v>
      </x:c>
      <x:c r="G95" s="28" t="n">
        <x:v>58.1</x:v>
      </x:c>
      <x:c r="H95" s="28" t="n">
        <x:v>-52.49999999999999</x:v>
      </x:c>
      <x:c r="I95" s="28" t="n">
        <x:v>0</x:v>
      </x:c>
      <x:c r="J95" s="28" t="n">
        <x:v>-52.49999999999999</x:v>
      </x:c>
      <x:c r="K95" s="27"/>
      <x:c r="L95" s="31" t="str">
        <x:v>ADP NOT LOADED</x:v>
      </x:c>
      <x:c r="M95" s="26" t="str">
        <x:v>Projection-only v1.0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Elic Ayomanor</x:v>
      </x:c>
      <x:c r="E96" s="26" t="str">
        <x:v>TEN</x:v>
      </x:c>
      <x:c r="F96" s="26" t="str">
        <x:v>WR</x:v>
      </x:c>
      <x:c r="G96" s="28" t="n">
        <x:v>58.8</x:v>
      </x:c>
      <x:c r="H96" s="28" t="n">
        <x:v>-51.8</x:v>
      </x:c>
      <x:c r="I96" s="28" t="n">
        <x:v>0</x:v>
      </x:c>
      <x:c r="J96" s="28" t="n">
        <x:v>-51.8</x:v>
      </x:c>
      <x:c r="K96" s="27"/>
      <x:c r="L96" s="31" t="str">
        <x:v>ADP NOT LOADED</x:v>
      </x:c>
      <x:c r="M96" s="26" t="str">
        <x:v>Projection-only v1.0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Cedric Tillman</x:v>
      </x:c>
      <x:c r="E97" s="26" t="str">
        <x:v>CLE</x:v>
      </x:c>
      <x:c r="F97" s="26" t="str">
        <x:v>WR</x:v>
      </x:c>
      <x:c r="G97" s="28" t="n">
        <x:v>56.4</x:v>
      </x:c>
      <x:c r="H97" s="28" t="n">
        <x:v>-54.199999999999996</x:v>
      </x:c>
      <x:c r="I97" s="28" t="n">
        <x:v>0</x:v>
      </x:c>
      <x:c r="J97" s="28" t="n">
        <x:v>-54.199999999999996</x:v>
      </x:c>
      <x:c r="K97" s="27"/>
      <x:c r="L97" s="31" t="str">
        <x:v>ADP NOT LOADED</x:v>
      </x:c>
      <x:c r="M97" s="26" t="str">
        <x:v>Projection-only v1.0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Hollywood Brown</x:v>
      </x:c>
      <x:c r="E98" s="26" t="str">
        <x:v>PHI</x:v>
      </x:c>
      <x:c r="F98" s="26" t="str">
        <x:v>WR</x:v>
      </x:c>
      <x:c r="G98" s="28" t="n">
        <x:v>55.2</x:v>
      </x:c>
      <x:c r="H98" s="28" t="n">
        <x:v>-55.39999999999999</x:v>
      </x:c>
      <x:c r="I98" s="28" t="n">
        <x:v>0</x:v>
      </x:c>
      <x:c r="J98" s="28" t="n">
        <x:v>-55.39999999999999</x:v>
      </x:c>
      <x:c r="K98" s="27"/>
      <x:c r="L98" s="31" t="str">
        <x:v>ADP NOT LOADED</x:v>
      </x:c>
      <x:c r="M98" s="26" t="str">
        <x:v>Projection-only v1.0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Mack Hollins</x:v>
      </x:c>
      <x:c r="E99" s="26" t="str">
        <x:v>NE</x:v>
      </x:c>
      <x:c r="F99" s="26" t="str">
        <x:v>WR</x:v>
      </x:c>
      <x:c r="G99" s="28" t="n">
        <x:v>54</x:v>
      </x:c>
      <x:c r="H99" s="28" t="n">
        <x:v>-56.599999999999994</x:v>
      </x:c>
      <x:c r="I99" s="28" t="n">
        <x:v>0</x:v>
      </x:c>
      <x:c r="J99" s="28" t="n">
        <x:v>-56.599999999999994</x:v>
      </x:c>
      <x:c r="K99" s="27"/>
      <x:c r="L99" s="31" t="str">
        <x:v>ADP NOT LOADED</x:v>
      </x:c>
      <x:c r="M99" s="26" t="str">
        <x:v>Projection-only v1.0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Travis Hunter</x:v>
      </x:c>
      <x:c r="E100" s="26" t="str">
        <x:v>JAX</x:v>
      </x:c>
      <x:c r="F100" s="26" t="str">
        <x:v>WR</x:v>
      </x:c>
      <x:c r="G100" s="28" t="n">
        <x:v>54</x:v>
      </x:c>
      <x:c r="H100" s="28" t="n">
        <x:v>-56.599999999999994</x:v>
      </x:c>
      <x:c r="I100" s="28" t="n">
        <x:v>0</x:v>
      </x:c>
      <x:c r="J100" s="28" t="n">
        <x:v>-56.599999999999994</x:v>
      </x:c>
      <x:c r="K100" s="27"/>
      <x:c r="L100" s="31" t="str">
        <x:v>ADP NOT LOADED</x:v>
      </x:c>
      <x:c r="M100" s="26" t="str">
        <x:v>Projection-only v1.0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Joshua Palmer</x:v>
      </x:c>
      <x:c r="E101" s="26" t="str">
        <x:v>BUF</x:v>
      </x:c>
      <x:c r="F101" s="26" t="str">
        <x:v>WR</x:v>
      </x:c>
      <x:c r="G101" s="28" t="n">
        <x:v>52.9</x:v>
      </x:c>
      <x:c r="H101" s="28" t="n">
        <x:v>-57.699999999999996</x:v>
      </x:c>
      <x:c r="I101" s="28" t="n">
        <x:v>0</x:v>
      </x:c>
      <x:c r="J101" s="28" t="n">
        <x:v>-57.699999999999996</x:v>
      </x:c>
      <x:c r="K101" s="27"/>
      <x:c r="L101" s="31" t="str">
        <x:v>ADP NOT LOADED</x:v>
      </x:c>
      <x:c r="M101" s="26" t="str">
        <x:v>Projection-only v1.0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Jalen Tolbert</x:v>
      </x:c>
      <x:c r="E102" s="26" t="str">
        <x:v>MIA</x:v>
      </x:c>
      <x:c r="F102" s="26" t="str">
        <x:v>WR</x:v>
      </x:c>
      <x:c r="G102" s="28" t="n">
        <x:v>51.8</x:v>
      </x:c>
      <x:c r="H102" s="28" t="n">
        <x:v>-58.8</x:v>
      </x:c>
      <x:c r="I102" s="28" t="n">
        <x:v>0</x:v>
      </x:c>
      <x:c r="J102" s="28" t="n">
        <x:v>-58.8</x:v>
      </x:c>
      <x:c r="K102" s="27"/>
      <x:c r="L102" s="31" t="str">
        <x:v>ADP NOT LOADED</x:v>
      </x:c>
      <x:c r="M102" s="26" t="str">
        <x:v>Projection-only v1.0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Chimere Dike</x:v>
      </x:c>
      <x:c r="E103" s="26" t="str">
        <x:v>TEN</x:v>
      </x:c>
      <x:c r="F103" s="26" t="str">
        <x:v>WR</x:v>
      </x:c>
      <x:c r="G103" s="28" t="n">
        <x:v>52.3</x:v>
      </x:c>
      <x:c r="H103" s="28" t="n">
        <x:v>-58.3</x:v>
      </x:c>
      <x:c r="I103" s="28" t="n">
        <x:v>0</x:v>
      </x:c>
      <x:c r="J103" s="28" t="n">
        <x:v>-58.3</x:v>
      </x:c>
      <x:c r="K103" s="27"/>
      <x:c r="L103" s="31" t="str">
        <x:v>ADP NOT LOADED</x:v>
      </x:c>
      <x:c r="M103" s="26" t="str">
        <x:v>Projection-only v1.0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Chris Bell</x:v>
      </x:c>
      <x:c r="E104" s="26" t="str">
        <x:v>MIA</x:v>
      </x:c>
      <x:c r="F104" s="26" t="str">
        <x:v>WR</x:v>
      </x:c>
      <x:c r="G104" s="28" t="n">
        <x:v>51.7</x:v>
      </x:c>
      <x:c r="H104" s="28" t="n">
        <x:v>-58.89999999999999</x:v>
      </x:c>
      <x:c r="I104" s="28" t="n">
        <x:v>0</x:v>
      </x:c>
      <x:c r="J104" s="28" t="n">
        <x:v>-58.89999999999999</x:v>
      </x:c>
      <x:c r="K104" s="27"/>
      <x:c r="L104" s="31" t="str">
        <x:v>ADP NOT LOADED</x:v>
      </x:c>
      <x:c r="M104" s="26" t="str">
        <x:v>Projection-only v1.0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Jaylin Noel</x:v>
      </x:c>
      <x:c r="E105" s="26" t="str">
        <x:v>HOU</x:v>
      </x:c>
      <x:c r="F105" s="26" t="str">
        <x:v>WR</x:v>
      </x:c>
      <x:c r="G105" s="28" t="n">
        <x:v>50.8</x:v>
      </x:c>
      <x:c r="H105" s="28" t="n">
        <x:v>-59.8</x:v>
      </x:c>
      <x:c r="I105" s="28" t="n">
        <x:v>0</x:v>
      </x:c>
      <x:c r="J105" s="28" t="n">
        <x:v>-59.8</x:v>
      </x:c>
      <x:c r="K105" s="27"/>
      <x:c r="L105" s="31" t="str">
        <x:v>ADP NOT LOADED</x:v>
      </x:c>
      <x:c r="M105" s="26" t="str">
        <x:v>Projection-only v1.0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Xavier Legette</x:v>
      </x:c>
      <x:c r="E106" s="26" t="str">
        <x:v>CAR</x:v>
      </x:c>
      <x:c r="F106" s="26" t="str">
        <x:v>WR</x:v>
      </x:c>
      <x:c r="G106" s="28" t="n">
        <x:v>50.5</x:v>
      </x:c>
      <x:c r="H106" s="28" t="n">
        <x:v>-60.099999999999994</x:v>
      </x:c>
      <x:c r="I106" s="28" t="n">
        <x:v>0</x:v>
      </x:c>
      <x:c r="J106" s="28" t="n">
        <x:v>-60.099999999999994</x:v>
      </x:c>
      <x:c r="K106" s="27"/>
      <x:c r="L106" s="31" t="str">
        <x:v>ADP NOT LOADED</x:v>
      </x:c>
      <x:c r="M106" s="26" t="str">
        <x:v>Projection-only v1.0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Pat Bryant</x:v>
      </x:c>
      <x:c r="E107" s="26" t="str">
        <x:v>DEN</x:v>
      </x:c>
      <x:c r="F107" s="26" t="str">
        <x:v>WR</x:v>
      </x:c>
      <x:c r="G107" s="28" t="n">
        <x:v>50.3</x:v>
      </x:c>
      <x:c r="H107" s="28" t="n">
        <x:v>-60.3</x:v>
      </x:c>
      <x:c r="I107" s="28" t="n">
        <x:v>0</x:v>
      </x:c>
      <x:c r="J107" s="28" t="n">
        <x:v>-60.3</x:v>
      </x:c>
      <x:c r="K107" s="27"/>
      <x:c r="L107" s="31" t="str">
        <x:v>ADP NOT LOADED</x:v>
      </x:c>
      <x:c r="M107" s="26" t="str">
        <x:v>Projection-only v1.0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Darius Slayton</x:v>
      </x:c>
      <x:c r="E108" s="26" t="str">
        <x:v>NYG</x:v>
      </x:c>
      <x:c r="F108" s="26" t="str">
        <x:v>WR</x:v>
      </x:c>
      <x:c r="G108" s="28" t="n">
        <x:v>50.4</x:v>
      </x:c>
      <x:c r="H108" s="28" t="n">
        <x:v>-60.199999999999996</x:v>
      </x:c>
      <x:c r="I108" s="28" t="n">
        <x:v>0</x:v>
      </x:c>
      <x:c r="J108" s="28" t="n">
        <x:v>-60.199999999999996</x:v>
      </x:c>
      <x:c r="K108" s="27"/>
      <x:c r="L108" s="31" t="str">
        <x:v>ADP NOT LOADED</x:v>
      </x:c>
      <x:c r="M108" s="26" t="str">
        <x:v>Projection-only v1.0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Jahdae Walker</x:v>
      </x:c>
      <x:c r="E109" s="26" t="str">
        <x:v>CHI</x:v>
      </x:c>
      <x:c r="F109" s="26" t="str">
        <x:v>WR</x:v>
      </x:c>
      <x:c r="G109" s="28" t="n">
        <x:v>51.8</x:v>
      </x:c>
      <x:c r="H109" s="28" t="n">
        <x:v>-58.8</x:v>
      </x:c>
      <x:c r="I109" s="28" t="n">
        <x:v>0</x:v>
      </x:c>
      <x:c r="J109" s="28" t="n">
        <x:v>-58.8</x:v>
      </x:c>
      <x:c r="K109" s="27"/>
      <x:c r="L109" s="31" t="str">
        <x:v>ADP NOT LOADED</x:v>
      </x:c>
      <x:c r="M109" s="26" t="str">
        <x:v>Projection-only v1.0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Elijah Sarratt</x:v>
      </x:c>
      <x:c r="E110" s="26" t="str">
        <x:v>BAL</x:v>
      </x:c>
      <x:c r="F110" s="26" t="str">
        <x:v>WR</x:v>
      </x:c>
      <x:c r="G110" s="28" t="n">
        <x:v>50.9</x:v>
      </x:c>
      <x:c r="H110" s="28" t="n">
        <x:v>-59.699999999999996</x:v>
      </x:c>
      <x:c r="I110" s="28" t="n">
        <x:v>0</x:v>
      </x:c>
      <x:c r="J110" s="28" t="n">
        <x:v>-59.699999999999996</x:v>
      </x:c>
      <x:c r="K110" s="27"/>
      <x:c r="L110" s="31" t="str">
        <x:v>ADP NOT LOADED</x:v>
      </x:c>
      <x:c r="M110" s="26" t="str">
        <x:v>Projection-only v1.0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Keon Coleman</x:v>
      </x:c>
      <x:c r="E111" s="26" t="str">
        <x:v>BUF</x:v>
      </x:c>
      <x:c r="F111" s="26" t="str">
        <x:v>WR</x:v>
      </x:c>
      <x:c r="G111" s="28" t="n">
        <x:v>49.5</x:v>
      </x:c>
      <x:c r="H111" s="28" t="n">
        <x:v>-61.099999999999994</x:v>
      </x:c>
      <x:c r="I111" s="28" t="n">
        <x:v>0</x:v>
      </x:c>
      <x:c r="J111" s="28" t="n">
        <x:v>-61.099999999999994</x:v>
      </x:c>
      <x:c r="K111" s="27"/>
      <x:c r="L111" s="31" t="str">
        <x:v>ADP NOT LOADED</x:v>
      </x:c>
      <x:c r="M111" s="26" t="str">
        <x:v>Projection-only v1.0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Kendrick Bourne</x:v>
      </x:c>
      <x:c r="E112" s="26" t="str">
        <x:v>ARI</x:v>
      </x:c>
      <x:c r="F112" s="26" t="str">
        <x:v>WR</x:v>
      </x:c>
      <x:c r="G112" s="28" t="n">
        <x:v>46.4</x:v>
      </x:c>
      <x:c r="H112" s="28" t="n">
        <x:v>-64.19999999999999</x:v>
      </x:c>
      <x:c r="I112" s="28" t="n">
        <x:v>0</x:v>
      </x:c>
      <x:c r="J112" s="28" t="n">
        <x:v>-64.19999999999999</x:v>
      </x:c>
      <x:c r="K112" s="27"/>
      <x:c r="L112" s="31" t="str">
        <x:v>ADP NOT LOADED</x:v>
      </x:c>
      <x:c r="M112" s="26" t="str">
        <x:v>Projection-only v1.0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Jahan Dotson</x:v>
      </x:c>
      <x:c r="E113" s="26" t="str">
        <x:v>ATL</x:v>
      </x:c>
      <x:c r="F113" s="26" t="str">
        <x:v>WR</x:v>
      </x:c>
      <x:c r="G113" s="28" t="n">
        <x:v>44.8</x:v>
      </x:c>
      <x:c r="H113" s="28" t="n">
        <x:v>-65.8</x:v>
      </x:c>
      <x:c r="I113" s="28" t="n">
        <x:v>0</x:v>
      </x:c>
      <x:c r="J113" s="28" t="n">
        <x:v>-65.8</x:v>
      </x:c>
      <x:c r="K113" s="27"/>
      <x:c r="L113" s="31" t="str">
        <x:v>ADP NOT LOADED</x:v>
      </x:c>
      <x:c r="M113" s="26" t="str">
        <x:v>Projection-only v1.0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Olamide Zaccheaus</x:v>
      </x:c>
      <x:c r="E114" s="26" t="str">
        <x:v>ATL</x:v>
      </x:c>
      <x:c r="F114" s="26" t="str">
        <x:v>WR</x:v>
      </x:c>
      <x:c r="G114" s="28" t="n">
        <x:v>43.7</x:v>
      </x:c>
      <x:c r="H114" s="28" t="n">
        <x:v>-66.89999999999999</x:v>
      </x:c>
      <x:c r="I114" s="28" t="n">
        <x:v>0</x:v>
      </x:c>
      <x:c r="J114" s="28" t="n">
        <x:v>-66.89999999999999</x:v>
      </x:c>
      <x:c r="K114" s="27"/>
      <x:c r="L114" s="31" t="str">
        <x:v>ADP NOT LOADED</x:v>
      </x:c>
      <x:c r="M114" s="26" t="str">
        <x:v>Projection-only v1.0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Savion Williams</x:v>
      </x:c>
      <x:c r="E115" s="26" t="str">
        <x:v>GB</x:v>
      </x:c>
      <x:c r="F115" s="26" t="str">
        <x:v>WR</x:v>
      </x:c>
      <x:c r="G115" s="28" t="n">
        <x:v>46.2</x:v>
      </x:c>
      <x:c r="H115" s="28" t="n">
        <x:v>-64.39999999999999</x:v>
      </x:c>
      <x:c r="I115" s="28" t="n">
        <x:v>0</x:v>
      </x:c>
      <x:c r="J115" s="28" t="n">
        <x:v>-64.39999999999999</x:v>
      </x:c>
      <x:c r="K115" s="27"/>
      <x:c r="L115" s="31" t="str">
        <x:v>ADP NOT LOADED</x:v>
      </x:c>
      <x:c r="M115" s="26" t="str">
        <x:v>Projection-only v1.0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Darnell Mooney</x:v>
      </x:c>
      <x:c r="E116" s="26" t="str">
        <x:v>NYG</x:v>
      </x:c>
      <x:c r="F116" s="26" t="str">
        <x:v>WR</x:v>
      </x:c>
      <x:c r="G116" s="28" t="n">
        <x:v>46.1</x:v>
      </x:c>
      <x:c r="H116" s="28" t="n">
        <x:v>-64.5</x:v>
      </x:c>
      <x:c r="I116" s="28" t="n">
        <x:v>0</x:v>
      </x:c>
      <x:c r="J116" s="28" t="n">
        <x:v>-64.5</x:v>
      </x:c>
      <x:c r="K116" s="27"/>
      <x:c r="L116" s="31" t="str">
        <x:v>ADP NOT LOADED</x:v>
      </x:c>
      <x:c r="M116" s="26" t="str">
        <x:v>Projection-only v1.0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Devaughn Vele</x:v>
      </x:c>
      <x:c r="E117" s="26" t="str">
        <x:v>NO</x:v>
      </x:c>
      <x:c r="F117" s="26" t="str">
        <x:v>WR</x:v>
      </x:c>
      <x:c r="G117" s="28" t="n">
        <x:v>44.9</x:v>
      </x:c>
      <x:c r="H117" s="28" t="n">
        <x:v>-65.69999999999999</x:v>
      </x:c>
      <x:c r="I117" s="28" t="n">
        <x:v>0</x:v>
      </x:c>
      <x:c r="J117" s="28" t="n">
        <x:v>-65.69999999999999</x:v>
      </x:c>
      <x:c r="K117" s="27"/>
      <x:c r="L117" s="31" t="str">
        <x:v>ADP NOT LOADED</x:v>
      </x:c>
      <x:c r="M117" s="26" t="str">
        <x:v>Projection-only v1.0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Malachi Fields</x:v>
      </x:c>
      <x:c r="E118" s="26" t="str">
        <x:v>NYG</x:v>
      </x:c>
      <x:c r="F118" s="26" t="str">
        <x:v>WR</x:v>
      </x:c>
      <x:c r="G118" s="28" t="n">
        <x:v>44.2</x:v>
      </x:c>
      <x:c r="H118" s="28" t="n">
        <x:v>-66.39999999999999</x:v>
      </x:c>
      <x:c r="I118" s="28" t="n">
        <x:v>0</x:v>
      </x:c>
      <x:c r="J118" s="28" t="n">
        <x:v>-66.39999999999999</x:v>
      </x:c>
      <x:c r="K118" s="27"/>
      <x:c r="L118" s="31" t="str">
        <x:v>ADP NOT LOADED</x:v>
      </x:c>
      <x:c r="M118" s="26" t="str">
        <x:v>Projection-only v1.0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Xavier Hutchinson</x:v>
      </x:c>
      <x:c r="E119" s="26" t="str">
        <x:v>HOU</x:v>
      </x:c>
      <x:c r="F119" s="26" t="str">
        <x:v>WR</x:v>
      </x:c>
      <x:c r="G119" s="28" t="n">
        <x:v>44.4</x:v>
      </x:c>
      <x:c r="H119" s="28" t="n">
        <x:v>-66.19999999999999</x:v>
      </x:c>
      <x:c r="I119" s="28" t="n">
        <x:v>0</x:v>
      </x:c>
      <x:c r="J119" s="28" t="n">
        <x:v>-66.19999999999999</x:v>
      </x:c>
      <x:c r="K119" s="27"/>
      <x:c r="L119" s="31" t="str">
        <x:v>ADP NOT LOADED</x:v>
      </x:c>
      <x:c r="M119" s="26" t="str">
        <x:v>Projection-only v1.0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Tory Horton</x:v>
      </x:c>
      <x:c r="E120" s="26" t="str">
        <x:v>SEA</x:v>
      </x:c>
      <x:c r="F120" s="26" t="str">
        <x:v>WR</x:v>
      </x:c>
      <x:c r="G120" s="28" t="n">
        <x:v>45.3</x:v>
      </x:c>
      <x:c r="H120" s="28" t="n">
        <x:v>-65.3</x:v>
      </x:c>
      <x:c r="I120" s="28" t="n">
        <x:v>0</x:v>
      </x:c>
      <x:c r="J120" s="28" t="n">
        <x:v>-65.3</x:v>
      </x:c>
      <x:c r="K120" s="27"/>
      <x:c r="L120" s="31" t="str">
        <x:v>ADP NOT LOADED</x:v>
      </x:c>
      <x:c r="M120" s="26" t="str">
        <x:v>Projection-only v1.0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Marvin Mims Jr.</x:v>
      </x:c>
      <x:c r="E121" s="26" t="str">
        <x:v>DEN</x:v>
      </x:c>
      <x:c r="F121" s="26" t="str">
        <x:v>WR</x:v>
      </x:c>
      <x:c r="G121" s="28" t="n">
        <x:v>43.9</x:v>
      </x:c>
      <x:c r="H121" s="28" t="n">
        <x:v>-66.69999999999999</x:v>
      </x:c>
      <x:c r="I121" s="28" t="n">
        <x:v>0</x:v>
      </x:c>
      <x:c r="J121" s="28" t="n">
        <x:v>-66.69999999999999</x:v>
      </x:c>
      <x:c r="K121" s="27"/>
      <x:c r="L121" s="31" t="str">
        <x:v>ADP NOT LOADED</x:v>
      </x:c>
      <x:c r="M121" s="26" t="str">
        <x:v>Projection-only v1.0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Bub Means</x:v>
      </x:c>
      <x:c r="E122" s="26" t="str">
        <x:v>NO</x:v>
      </x:c>
      <x:c r="F122" s="26" t="str">
        <x:v>WR</x:v>
      </x:c>
      <x:c r="G122" s="28" t="n">
        <x:v>42.1</x:v>
      </x:c>
      <x:c r="H122" s="28" t="n">
        <x:v>-68.5</x:v>
      </x:c>
      <x:c r="I122" s="28" t="n">
        <x:v>0</x:v>
      </x:c>
      <x:c r="J122" s="28" t="n">
        <x:v>-68.5</x:v>
      </x:c>
      <x:c r="K122" s="27"/>
      <x:c r="L122" s="31" t="str">
        <x:v>ADP NOT LOADED</x:v>
      </x:c>
      <x:c r="M122" s="26" t="str">
        <x:v>Projection-only v1.0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Bryce Lance</x:v>
      </x:c>
      <x:c r="E123" s="26" t="str">
        <x:v>NO</x:v>
      </x:c>
      <x:c r="F123" s="26" t="str">
        <x:v>WR</x:v>
      </x:c>
      <x:c r="G123" s="28" t="n">
        <x:v>40.6</x:v>
      </x:c>
      <x:c r="H123" s="28" t="n">
        <x:v>-70</x:v>
      </x:c>
      <x:c r="I123" s="28" t="n">
        <x:v>0</x:v>
      </x:c>
      <x:c r="J123" s="28" t="n">
        <x:v>-70</x:v>
      </x:c>
      <x:c r="K123" s="27"/>
      <x:c r="L123" s="31" t="str">
        <x:v>ADP NOT LOADED</x:v>
      </x:c>
      <x:c r="M123" s="26" t="str">
        <x:v>Projection-only v1.0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Cyrus Allen</x:v>
      </x:c>
      <x:c r="E124" s="26" t="str">
        <x:v>KC</x:v>
      </x:c>
      <x:c r="F124" s="26" t="str">
        <x:v>WR</x:v>
      </x:c>
      <x:c r="G124" s="28" t="n">
        <x:v>40.8</x:v>
      </x:c>
      <x:c r="H124" s="28" t="n">
        <x:v>-69.8</x:v>
      </x:c>
      <x:c r="I124" s="28" t="n">
        <x:v>0</x:v>
      </x:c>
      <x:c r="J124" s="28" t="n">
        <x:v>-69.8</x:v>
      </x:c>
      <x:c r="K124" s="27"/>
      <x:c r="L124" s="31" t="str">
        <x:v>ADP NOT LOADED</x:v>
      </x:c>
      <x:c r="M124" s="26" t="str">
        <x:v>Projection-only v1.0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Kyle Williams</x:v>
      </x:c>
      <x:c r="E125" s="26" t="str">
        <x:v>NE</x:v>
      </x:c>
      <x:c r="F125" s="26" t="str">
        <x:v>WR</x:v>
      </x:c>
      <x:c r="G125" s="28" t="n">
        <x:v>39.7</x:v>
      </x:c>
      <x:c r="H125" s="28" t="n">
        <x:v>-70.89999999999999</x:v>
      </x:c>
      <x:c r="I125" s="28" t="n">
        <x:v>0</x:v>
      </x:c>
      <x:c r="J125" s="28" t="n">
        <x:v>-70.89999999999999</x:v>
      </x:c>
      <x:c r="K125" s="27"/>
      <x:c r="L125" s="31" t="str">
        <x:v>ADP NOT LOADED</x:v>
      </x:c>
      <x:c r="M125" s="26" t="str">
        <x:v>Projection-only v1.0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DeMario Douglas</x:v>
      </x:c>
      <x:c r="E126" s="26" t="str">
        <x:v>NE</x:v>
      </x:c>
      <x:c r="F126" s="26" t="str">
        <x:v>WR</x:v>
      </x:c>
      <x:c r="G126" s="28" t="n">
        <x:v>36.4</x:v>
      </x:c>
      <x:c r="H126" s="28" t="n">
        <x:v>-74.19999999999999</x:v>
      </x:c>
      <x:c r="I126" s="28" t="n">
        <x:v>0</x:v>
      </x:c>
      <x:c r="J126" s="28" t="n">
        <x:v>-74.19999999999999</x:v>
      </x:c>
      <x:c r="K126" s="27"/>
      <x:c r="L126" s="31" t="str">
        <x:v>ADP NOT LOADED</x:v>
      </x:c>
      <x:c r="M126" s="26" t="str">
        <x:v>Projection-only v1.0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Antonio Williams</x:v>
      </x:c>
      <x:c r="E127" s="26" t="str">
        <x:v>WAS</x:v>
      </x:c>
      <x:c r="F127" s="26" t="str">
        <x:v>WR</x:v>
      </x:c>
      <x:c r="G127" s="28" t="n">
        <x:v>35.1</x:v>
      </x:c>
      <x:c r="H127" s="28" t="n">
        <x:v>-75.5</x:v>
      </x:c>
      <x:c r="I127" s="28" t="n">
        <x:v>0</x:v>
      </x:c>
      <x:c r="J127" s="28" t="n">
        <x:v>-75.5</x:v>
      </x:c>
      <x:c r="K127" s="27"/>
      <x:c r="L127" s="31" t="str">
        <x:v>ADP NOT LOADED</x:v>
      </x:c>
      <x:c r="M127" s="26" t="str">
        <x:v>Projection-only v1.0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Brenen Thompson</x:v>
      </x:c>
      <x:c r="E128" s="26" t="str">
        <x:v>LAC</x:v>
      </x:c>
      <x:c r="F128" s="26" t="str">
        <x:v>WR</x:v>
      </x:c>
      <x:c r="G128" s="28" t="n">
        <x:v>34.3</x:v>
      </x:c>
      <x:c r="H128" s="28" t="n">
        <x:v>-76.3</x:v>
      </x:c>
      <x:c r="I128" s="28" t="n">
        <x:v>0</x:v>
      </x:c>
      <x:c r="J128" s="28" t="n">
        <x:v>-76.3</x:v>
      </x:c>
      <x:c r="K128" s="27"/>
      <x:c r="L128" s="31" t="str">
        <x:v>ADP NOT LOADED</x:v>
      </x:c>
      <x:c r="M128" s="26" t="str">
        <x:v>Projection-only v1.0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KaVontae Turpin</x:v>
      </x:c>
      <x:c r="E129" s="26" t="str">
        <x:v>DAL</x:v>
      </x:c>
      <x:c r="F129" s="26" t="str">
        <x:v>WR</x:v>
      </x:c>
      <x:c r="G129" s="28" t="n">
        <x:v>36.3</x:v>
      </x:c>
      <x:c r="H129" s="28" t="n">
        <x:v>-74.3</x:v>
      </x:c>
      <x:c r="I129" s="28" t="n">
        <x:v>0</x:v>
      </x:c>
      <x:c r="J129" s="28" t="n">
        <x:v>-74.3</x:v>
      </x:c>
      <x:c r="K129" s="27"/>
      <x:c r="L129" s="31" t="str">
        <x:v>ADP NOT LOADED</x:v>
      </x:c>
      <x:c r="M129" s="26" t="str">
        <x:v>Projection-only v1.0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Calvin Austin III</x:v>
      </x:c>
      <x:c r="E130" s="26" t="str">
        <x:v>NYG</x:v>
      </x:c>
      <x:c r="F130" s="26" t="str">
        <x:v>WR</x:v>
      </x:c>
      <x:c r="G130" s="28" t="n">
        <x:v>32.5</x:v>
      </x:c>
      <x:c r="H130" s="28" t="n">
        <x:v>-78.1</x:v>
      </x:c>
      <x:c r="I130" s="28" t="n">
        <x:v>0</x:v>
      </x:c>
      <x:c r="J130" s="28" t="n">
        <x:v>-78.1</x:v>
      </x:c>
      <x:c r="K130" s="27"/>
      <x:c r="L130" s="31" t="str">
        <x:v>ADP NOT LOADED</x:v>
      </x:c>
      <x:c r="M130" s="26" t="str">
        <x:v>Projection-only v1.0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Skyler Bell</x:v>
      </x:c>
      <x:c r="E131" s="26" t="str">
        <x:v>BUF</x:v>
      </x:c>
      <x:c r="F131" s="26" t="str">
        <x:v>WR</x:v>
      </x:c>
      <x:c r="G131" s="28" t="n">
        <x:v>32.1</x:v>
      </x:c>
      <x:c r="H131" s="28" t="n">
        <x:v>-78.5</x:v>
      </x:c>
      <x:c r="I131" s="28" t="n">
        <x:v>0</x:v>
      </x:c>
      <x:c r="J131" s="28" t="n">
        <x:v>-78.5</x:v>
      </x:c>
      <x:c r="K131" s="27"/>
      <x:c r="L131" s="31" t="str">
        <x:v>ADP NOT LOADED</x:v>
      </x:c>
      <x:c r="M131" s="26" t="str">
        <x:v>Projection-only v1.0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Kalif Raymond</x:v>
      </x:c>
      <x:c r="E132" s="26" t="str">
        <x:v>CHI</x:v>
      </x:c>
      <x:c r="F132" s="26" t="str">
        <x:v>WR</x:v>
      </x:c>
      <x:c r="G132" s="28" t="n">
        <x:v>31.9</x:v>
      </x:c>
      <x:c r="H132" s="28" t="n">
        <x:v>-78.69999999999999</x:v>
      </x:c>
      <x:c r="I132" s="28" t="n">
        <x:v>0</x:v>
      </x:c>
      <x:c r="J132" s="28" t="n">
        <x:v>-78.69999999999999</x:v>
      </x:c>
      <x:c r="K132" s="27"/>
      <x:c r="L132" s="31" t="str">
        <x:v>ADP NOT LOADED</x:v>
      </x:c>
      <x:c r="M132" s="26" t="str">
        <x:v>Projection-only v1.0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Roman Wilson</x:v>
      </x:c>
      <x:c r="E133" s="26" t="str">
        <x:v>PIT</x:v>
      </x:c>
      <x:c r="F133" s="26" t="str">
        <x:v>WR</x:v>
      </x:c>
      <x:c r="G133" s="28" t="n">
        <x:v>30.4</x:v>
      </x:c>
      <x:c r="H133" s="28" t="n">
        <x:v>-80.19999999999999</x:v>
      </x:c>
      <x:c r="I133" s="28" t="n">
        <x:v>0</x:v>
      </x:c>
      <x:c r="J133" s="28" t="n">
        <x:v>-80.19999999999999</x:v>
      </x:c>
      <x:c r="K133" s="27"/>
      <x:c r="L133" s="31" t="str">
        <x:v>ADP NOT LOADED</x:v>
      </x:c>
      <x:c r="M133" s="26" t="str">
        <x:v>Projection-only v1.0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Ashton Dulin</x:v>
      </x:c>
      <x:c r="E134" s="26" t="str">
        <x:v>IND</x:v>
      </x:c>
      <x:c r="F134" s="26" t="str">
        <x:v>WR</x:v>
      </x:c>
      <x:c r="G134" s="28" t="n">
        <x:v>32.3</x:v>
      </x:c>
      <x:c r="H134" s="28" t="n">
        <x:v>-78.3</x:v>
      </x:c>
      <x:c r="I134" s="28" t="n">
        <x:v>0</x:v>
      </x:c>
      <x:c r="J134" s="28" t="n">
        <x:v>-78.3</x:v>
      </x:c>
      <x:c r="K134" s="27"/>
      <x:c r="L134" s="31" t="str">
        <x:v>ADP NOT LOADED</x:v>
      </x:c>
      <x:c r="M134" s="26" t="str">
        <x:v>Projection-only v1.0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Jordan Whittington</x:v>
      </x:c>
      <x:c r="E135" s="26" t="str">
        <x:v>LAR</x:v>
      </x:c>
      <x:c r="F135" s="26" t="str">
        <x:v>WR</x:v>
      </x:c>
      <x:c r="G135" s="28" t="n">
        <x:v>28.1</x:v>
      </x:c>
      <x:c r="H135" s="28" t="n">
        <x:v>-82.5</x:v>
      </x:c>
      <x:c r="I135" s="28" t="n">
        <x:v>0</x:v>
      </x:c>
      <x:c r="J135" s="28" t="n">
        <x:v>-82.5</x:v>
      </x:c>
      <x:c r="K135" s="27"/>
      <x:c r="L135" s="31" t="str">
        <x:v>ADP NOT LOADED</x:v>
      </x:c>
      <x:c r="M135" s="26" t="str">
        <x:v>Projection-only v1.0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Dyami Brown</x:v>
      </x:c>
      <x:c r="E136" s="26" t="str">
        <x:v>WAS</x:v>
      </x:c>
      <x:c r="F136" s="26" t="str">
        <x:v>WR</x:v>
      </x:c>
      <x:c r="G136" s="28" t="n">
        <x:v>28.4</x:v>
      </x:c>
      <x:c r="H136" s="28" t="n">
        <x:v>-82.19999999999999</x:v>
      </x:c>
      <x:c r="I136" s="28" t="n">
        <x:v>0</x:v>
      </x:c>
      <x:c r="J136" s="28" t="n">
        <x:v>-82.19999999999999</x:v>
      </x:c>
      <x:c r="K136" s="27"/>
      <x:c r="L136" s="31" t="str">
        <x:v>ADP NOT LOADED</x:v>
      </x:c>
      <x:c r="M136" s="26" t="str">
        <x:v>Projection-only v1.0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Tutu Atwell</x:v>
      </x:c>
      <x:c r="E137" s="26" t="str">
        <x:v>MIA</x:v>
      </x:c>
      <x:c r="F137" s="26" t="str">
        <x:v>WR</x:v>
      </x:c>
      <x:c r="G137" s="28" t="n">
        <x:v>27.7</x:v>
      </x:c>
      <x:c r="H137" s="28" t="n">
        <x:v>-82.89999999999999</x:v>
      </x:c>
      <x:c r="I137" s="28" t="n">
        <x:v>0</x:v>
      </x:c>
      <x:c r="J137" s="28" t="n">
        <x:v>-82.89999999999999</x:v>
      </x:c>
      <x:c r="K137" s="27"/>
      <x:c r="L137" s="31" t="str">
        <x:v>ADP NOT LOADED</x:v>
      </x:c>
      <x:c r="M137" s="26" t="str">
        <x:v>Projection-only v1.0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Odell Beckham Jr.</x:v>
      </x:c>
      <x:c r="E138" s="26" t="str">
        <x:v>NYG</x:v>
      </x:c>
      <x:c r="F138" s="26" t="str">
        <x:v>WR</x:v>
      </x:c>
      <x:c r="G138" s="28" t="n">
        <x:v>25.8</x:v>
      </x:c>
      <x:c r="H138" s="28" t="n">
        <x:v>-84.8</x:v>
      </x:c>
      <x:c r="I138" s="28" t="n">
        <x:v>0</x:v>
      </x:c>
      <x:c r="J138" s="28" t="n">
        <x:v>-84.8</x:v>
      </x:c>
      <x:c r="K138" s="27"/>
      <x:c r="L138" s="31" t="str">
        <x:v>ADP NOT LOADED</x:v>
      </x:c>
      <x:c r="M138" s="26" t="str">
        <x:v>Projection-only v1.0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Kevin Coleman Jr.</x:v>
      </x:c>
      <x:c r="E139" s="26" t="str">
        <x:v>MIA</x:v>
      </x:c>
      <x:c r="F139" s="26" t="str">
        <x:v>WR</x:v>
      </x:c>
      <x:c r="G139" s="28" t="n">
        <x:v>25.7</x:v>
      </x:c>
      <x:c r="H139" s="28" t="n">
        <x:v>-84.89999999999999</x:v>
      </x:c>
      <x:c r="I139" s="28" t="n">
        <x:v>0</x:v>
      </x:c>
      <x:c r="J139" s="28" t="n">
        <x:v>-84.89999999999999</x:v>
      </x:c>
      <x:c r="K139" s="27"/>
      <x:c r="L139" s="31" t="str">
        <x:v>ADP NOT LOADED</x:v>
      </x:c>
      <x:c r="M139" s="26" t="str">
        <x:v>Projection-only v1.0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Demarcus Robinson</x:v>
      </x:c>
      <x:c r="E140" s="26" t="str">
        <x:v>SF</x:v>
      </x:c>
      <x:c r="F140" s="26" t="str">
        <x:v>WR</x:v>
      </x:c>
      <x:c r="G140" s="28" t="n">
        <x:v>26.3</x:v>
      </x:c>
      <x:c r="H140" s="28" t="n">
        <x:v>-84.3</x:v>
      </x:c>
      <x:c r="I140" s="28" t="n">
        <x:v>0</x:v>
      </x:c>
      <x:c r="J140" s="28" t="n">
        <x:v>-84.3</x:v>
      </x:c>
      <x:c r="K140" s="27"/>
      <x:c r="L140" s="31" t="str">
        <x:v>ADP NOT LOADED</x:v>
      </x:c>
      <x:c r="M140" s="26" t="str">
        <x:v>Projection-only v1.0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Van Jefferson</x:v>
      </x:c>
      <x:c r="E141" s="26" t="str">
        <x:v>WAS</x:v>
      </x:c>
      <x:c r="F141" s="26" t="str">
        <x:v>WR</x:v>
      </x:c>
      <x:c r="G141" s="28" t="n">
        <x:v>26</x:v>
      </x:c>
      <x:c r="H141" s="28" t="n">
        <x:v>-84.6</x:v>
      </x:c>
      <x:c r="I141" s="28" t="n">
        <x:v>0</x:v>
      </x:c>
      <x:c r="J141" s="28" t="n">
        <x:v>-84.6</x:v>
      </x:c>
      <x:c r="K141" s="27"/>
      <x:c r="L141" s="31" t="str">
        <x:v>ADP NOT LOADED</x:v>
      </x:c>
      <x:c r="M141" s="26" t="str">
        <x:v>Projection-only v1.0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Nick Westbrook-Ikhine</x:v>
      </x:c>
      <x:c r="E142" s="26" t="str">
        <x:v>IND</x:v>
      </x:c>
      <x:c r="F142" s="26" t="str">
        <x:v>WR</x:v>
      </x:c>
      <x:c r="G142" s="28" t="n">
        <x:v>24.2</x:v>
      </x:c>
      <x:c r="H142" s="28" t="n">
        <x:v>-86.39999999999999</x:v>
      </x:c>
      <x:c r="I142" s="28" t="n">
        <x:v>0</x:v>
      </x:c>
      <x:c r="J142" s="28" t="n">
        <x:v>-86.39999999999999</x:v>
      </x:c>
      <x:c r="K142" s="27"/>
      <x:c r="L142" s="31" t="str">
        <x:v>ADP NOT LOADED</x:v>
      </x:c>
      <x:c r="M142" s="26" t="str">
        <x:v>Projection-only v1.0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Treylon Burks</x:v>
      </x:c>
      <x:c r="E143" s="26" t="str">
        <x:v>WAS</x:v>
      </x:c>
      <x:c r="F143" s="26" t="str">
        <x:v>WR</x:v>
      </x:c>
      <x:c r="G143" s="28" t="n">
        <x:v>21.4</x:v>
      </x:c>
      <x:c r="H143" s="28" t="n">
        <x:v>-89.19999999999999</x:v>
      </x:c>
      <x:c r="I143" s="28" t="n">
        <x:v>0</x:v>
      </x:c>
      <x:c r="J143" s="28" t="n">
        <x:v>-89.19999999999999</x:v>
      </x:c>
      <x:c r="K143" s="27"/>
      <x:c r="L143" s="31" t="str">
        <x:v>ADP NOT LOADED</x:v>
      </x:c>
      <x:c r="M143" s="26" t="str">
        <x:v>Projection-only v1.0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Zavion Thomas</x:v>
      </x:c>
      <x:c r="E144" s="26" t="str">
        <x:v>CHI</x:v>
      </x:c>
      <x:c r="F144" s="26" t="str">
        <x:v>WR</x:v>
      </x:c>
      <x:c r="G144" s="28" t="n">
        <x:v>21</x:v>
      </x:c>
      <x:c r="H144" s="28" t="n">
        <x:v>-89.6</x:v>
      </x:c>
      <x:c r="I144" s="28" t="n">
        <x:v>0</x:v>
      </x:c>
      <x:c r="J144" s="28" t="n">
        <x:v>-89.6</x:v>
      </x:c>
      <x:c r="K144" s="27"/>
      <x:c r="L144" s="31" t="str">
        <x:v>ADP NOT LOADED</x:v>
      </x:c>
      <x:c r="M144" s="26" t="str">
        <x:v>Projection-only v1.0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Jaylin Lane</x:v>
      </x:c>
      <x:c r="E145" s="26" t="str">
        <x:v>WAS</x:v>
      </x:c>
      <x:c r="F145" s="26" t="str">
        <x:v>WR</x:v>
      </x:c>
      <x:c r="G145" s="28" t="n">
        <x:v>20.5</x:v>
      </x:c>
      <x:c r="H145" s="28" t="n">
        <x:v>-90.1</x:v>
      </x:c>
      <x:c r="I145" s="28" t="n">
        <x:v>0</x:v>
      </x:c>
      <x:c r="J145" s="28" t="n">
        <x:v>-90.1</x:v>
      </x:c>
      <x:c r="K145" s="27"/>
      <x:c r="L145" s="31" t="str">
        <x:v>ADP NOT LOADED</x:v>
      </x:c>
      <x:c r="M145" s="26" t="str">
        <x:v>Projection-only v1.0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Dont'e Thornton Jr.</x:v>
      </x:c>
      <x:c r="E146" s="26" t="str">
        <x:v>LV</x:v>
      </x:c>
      <x:c r="F146" s="26" t="str">
        <x:v>WR</x:v>
      </x:c>
      <x:c r="G146" s="28" t="n">
        <x:v>19.8</x:v>
      </x:c>
      <x:c r="H146" s="28" t="n">
        <x:v>-90.8</x:v>
      </x:c>
      <x:c r="I146" s="28" t="n">
        <x:v>0</x:v>
      </x:c>
      <x:c r="J146" s="28" t="n">
        <x:v>-90.8</x:v>
      </x:c>
      <x:c r="K146" s="27"/>
      <x:c r="L146" s="31" t="str">
        <x:v>ADP NOT LOADED</x:v>
      </x:c>
      <x:c r="M146" s="26" t="str">
        <x:v>Projection-only v1.0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Tim Patrick</x:v>
      </x:c>
      <x:c r="E147" s="26" t="str">
        <x:v>NYJ</x:v>
      </x:c>
      <x:c r="F147" s="26" t="str">
        <x:v>WR</x:v>
      </x:c>
      <x:c r="G147" s="28" t="n">
        <x:v>18.2</x:v>
      </x:c>
      <x:c r="H147" s="28" t="n">
        <x:v>-92.39999999999999</x:v>
      </x:c>
      <x:c r="I147" s="28" t="n">
        <x:v>0</x:v>
      </x:c>
      <x:c r="J147" s="28" t="n">
        <x:v>-92.39999999999999</x:v>
      </x:c>
      <x:c r="K147" s="27"/>
      <x:c r="L147" s="31" t="str">
        <x:v>ADP NOT LOADED</x:v>
      </x:c>
      <x:c r="M147" s="26" t="str">
        <x:v>Projection-only v1.0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Konata Mumpfield</x:v>
      </x:c>
      <x:c r="E148" s="26" t="str">
        <x:v>LAR</x:v>
      </x:c>
      <x:c r="F148" s="26" t="str">
        <x:v>WR</x:v>
      </x:c>
      <x:c r="G148" s="28" t="n">
        <x:v>18.8</x:v>
      </x:c>
      <x:c r="H148" s="28" t="n">
        <x:v>-91.8</x:v>
      </x:c>
      <x:c r="I148" s="28" t="n">
        <x:v>0</x:v>
      </x:c>
      <x:c r="J148" s="28" t="n">
        <x:v>-91.8</x:v>
      </x:c>
      <x:c r="K148" s="27"/>
      <x:c r="L148" s="31" t="str">
        <x:v>ADP NOT LOADED</x:v>
      </x:c>
      <x:c r="M148" s="26" t="str">
        <x:v>Projection-only v1.0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Brandon Aiyuk</x:v>
      </x:c>
      <x:c r="E149" s="26" t="str">
        <x:v>SF</x:v>
      </x:c>
      <x:c r="F149" s="26" t="str">
        <x:v>WR</x:v>
      </x:c>
      <x:c r="G149" s="28" t="n">
        <x:v>17.9</x:v>
      </x:c>
      <x:c r="H149" s="28" t="n">
        <x:v>-92.69999999999999</x:v>
      </x:c>
      <x:c r="I149" s="28" t="n">
        <x:v>0</x:v>
      </x:c>
      <x:c r="J149" s="28" t="n">
        <x:v>-92.69999999999999</x:v>
      </x:c>
      <x:c r="K149" s="27"/>
      <x:c r="L149" s="31" t="str">
        <x:v>ADP NOT LOADED</x:v>
      </x:c>
      <x:c r="M149" s="26" t="str">
        <x:v>Projection-only v1.0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Luke McCaffrey</x:v>
      </x:c>
      <x:c r="E150" s="26" t="str">
        <x:v>WAS</x:v>
      </x:c>
      <x:c r="F150" s="26" t="str">
        <x:v>WR</x:v>
      </x:c>
      <x:c r="G150" s="28" t="n">
        <x:v>18.3</x:v>
      </x:c>
      <x:c r="H150" s="28" t="n">
        <x:v>-92.3</x:v>
      </x:c>
      <x:c r="I150" s="28" t="n">
        <x:v>0</x:v>
      </x:c>
      <x:c r="J150" s="28" t="n">
        <x:v>-92.3</x:v>
      </x:c>
      <x:c r="K150" s="27"/>
      <x:c r="L150" s="31" t="str">
        <x:v>ADP NOT LOADED</x:v>
      </x:c>
      <x:c r="M150" s="26" t="str">
        <x:v>Projection-only v1.0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Tom Kennedy</x:v>
      </x:c>
      <x:c r="E151" s="26" t="str">
        <x:v>DET</x:v>
      </x:c>
      <x:c r="F151" s="26" t="str">
        <x:v>WR</x:v>
      </x:c>
      <x:c r="G151" s="28" t="n">
        <x:v>15.8</x:v>
      </x:c>
      <x:c r="H151" s="28" t="n">
        <x:v>-94.8</x:v>
      </x:c>
      <x:c r="I151" s="28" t="n">
        <x:v>0</x:v>
      </x:c>
      <x:c r="J151" s="28" t="n">
        <x:v>-94.8</x:v>
      </x:c>
      <x:c r="K151" s="27"/>
      <x:c r="L151" s="31" t="str">
        <x:v>ADP NOT LOADED</x:v>
      </x:c>
      <x:c r="M151" s="26" t="str">
        <x:v>Projection-only v1.0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Jalen Royals</x:v>
      </x:c>
      <x:c r="E152" s="26" t="str">
        <x:v>KC</x:v>
      </x:c>
      <x:c r="F152" s="26" t="str">
        <x:v>WR</x:v>
      </x:c>
      <x:c r="G152" s="28" t="n">
        <x:v>16.7</x:v>
      </x:c>
      <x:c r="H152" s="28" t="n">
        <x:v>-93.89999999999999</x:v>
      </x:c>
      <x:c r="I152" s="28" t="n">
        <x:v>0</x:v>
      </x:c>
      <x:c r="J152" s="28" t="n">
        <x:v>-93.89999999999999</x:v>
      </x:c>
      <x:c r="K152" s="27"/>
      <x:c r="L152" s="31" t="str">
        <x:v>ADP NOT LOADED</x:v>
      </x:c>
      <x:c r="M152" s="26" t="str">
        <x:v>Projection-only v1.0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Deion Burks</x:v>
      </x:c>
      <x:c r="E153" s="26" t="str">
        <x:v>IND</x:v>
      </x:c>
      <x:c r="F153" s="26" t="str">
        <x:v>WR</x:v>
      </x:c>
      <x:c r="G153" s="28" t="n">
        <x:v>15.8</x:v>
      </x:c>
      <x:c r="H153" s="28" t="n">
        <x:v>-94.8</x:v>
      </x:c>
      <x:c r="I153" s="28" t="n">
        <x:v>0</x:v>
      </x:c>
      <x:c r="J153" s="28" t="n">
        <x:v>-94.8</x:v>
      </x:c>
      <x:c r="K153" s="27"/>
      <x:c r="L153" s="31" t="str">
        <x:v>ADP NOT LOADED</x:v>
      </x:c>
      <x:c r="M153" s="26" t="str">
        <x:v>Projection-only v1.0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Eric Rivers Jr.</x:v>
      </x:c>
      <x:c r="E154" s="26" t="str">
        <x:v>TB</x:v>
      </x:c>
      <x:c r="F154" s="26" t="str">
        <x:v>WR</x:v>
      </x:c>
      <x:c r="G154" s="28" t="n">
        <x:v>15.8</x:v>
      </x:c>
      <x:c r="H154" s="28" t="n">
        <x:v>-94.8</x:v>
      </x:c>
      <x:c r="I154" s="28" t="n">
        <x:v>0</x:v>
      </x:c>
      <x:c r="J154" s="28" t="n">
        <x:v>-94.8</x:v>
      </x:c>
      <x:c r="K154" s="27"/>
      <x:c r="L154" s="31" t="str">
        <x:v>ADP NOT LOADED</x:v>
      </x:c>
      <x:c r="M154" s="26" t="str">
        <x:v>Projection-only v1.0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Mitch Tinsley</x:v>
      </x:c>
      <x:c r="E155" s="26" t="str">
        <x:v>CIN</x:v>
      </x:c>
      <x:c r="F155" s="26" t="str">
        <x:v>WR</x:v>
      </x:c>
      <x:c r="G155" s="28" t="n">
        <x:v>15.3</x:v>
      </x:c>
      <x:c r="H155" s="28" t="n">
        <x:v>-95.3</x:v>
      </x:c>
      <x:c r="I155" s="28" t="n">
        <x:v>0</x:v>
      </x:c>
      <x:c r="J155" s="28" t="n">
        <x:v>-95.3</x:v>
      </x:c>
      <x:c r="K155" s="27"/>
      <x:c r="L155" s="31" t="str">
        <x:v>ADP NOT LOADED</x:v>
      </x:c>
      <x:c r="M155" s="26" t="str">
        <x:v>Projection-only v1.0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Isaiah Bond</x:v>
      </x:c>
      <x:c r="E156" s="26" t="str">
        <x:v>CLE</x:v>
      </x:c>
      <x:c r="F156" s="26" t="str">
        <x:v>WR</x:v>
      </x:c>
      <x:c r="G156" s="28" t="n">
        <x:v>15.6</x:v>
      </x:c>
      <x:c r="H156" s="28" t="n">
        <x:v>-95</x:v>
      </x:c>
      <x:c r="I156" s="28" t="n">
        <x:v>0</x:v>
      </x:c>
      <x:c r="J156" s="28" t="n">
        <x:v>-95</x:v>
      </x:c>
      <x:c r="K156" s="27"/>
      <x:c r="L156" s="31" t="str">
        <x:v>ADP NOT LOADED</x:v>
      </x:c>
      <x:c r="M156" s="26" t="str">
        <x:v>Projection-only v1.0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David Sills V</x:v>
      </x:c>
      <x:c r="E157" s="26" t="str">
        <x:v>TB</x:v>
      </x:c>
      <x:c r="F157" s="26" t="str">
        <x:v>WR</x:v>
      </x:c>
      <x:c r="G157" s="28" t="n">
        <x:v>14.5</x:v>
      </x:c>
      <x:c r="H157" s="28" t="n">
        <x:v>-96.1</x:v>
      </x:c>
      <x:c r="I157" s="28" t="n">
        <x:v>0</x:v>
      </x:c>
      <x:c r="J157" s="28" t="n">
        <x:v>-96.1</x:v>
      </x:c>
      <x:c r="K157" s="27"/>
      <x:c r="L157" s="31" t="str">
        <x:v>ADP NOT LOADED</x:v>
      </x:c>
      <x:c r="M157" s="26" t="str">
        <x:v>Projection-only v1.0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JP Richardson</x:v>
      </x:c>
      <x:c r="E158" s="26" t="str">
        <x:v>CHI</x:v>
      </x:c>
      <x:c r="F158" s="26" t="str">
        <x:v>WR</x:v>
      </x:c>
      <x:c r="G158" s="28" t="n">
        <x:v>13.7</x:v>
      </x:c>
      <x:c r="H158" s="28" t="n">
        <x:v>-96.89999999999999</x:v>
      </x:c>
      <x:c r="I158" s="28" t="n">
        <x:v>0</x:v>
      </x:c>
      <x:c r="J158" s="28" t="n">
        <x:v>-96.89999999999999</x:v>
      </x:c>
      <x:c r="K158" s="27"/>
      <x:c r="L158" s="31" t="str">
        <x:v>ADP NOT LOADED</x:v>
      </x:c>
      <x:c r="M158" s="26" t="str">
        <x:v>Projection-only v1.0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Keandre Lambert-Smith</x:v>
      </x:c>
      <x:c r="E159" s="26" t="str">
        <x:v>LAC</x:v>
      </x:c>
      <x:c r="F159" s="26" t="str">
        <x:v>WR</x:v>
      </x:c>
      <x:c r="G159" s="28" t="n">
        <x:v>13.9</x:v>
      </x:c>
      <x:c r="H159" s="28" t="n">
        <x:v>-96.69999999999999</x:v>
      </x:c>
      <x:c r="I159" s="28" t="n">
        <x:v>0</x:v>
      </x:c>
      <x:c r="J159" s="28" t="n">
        <x:v>-96.69999999999999</x:v>
      </x:c>
      <x:c r="K159" s="27"/>
      <x:c r="L159" s="31" t="str">
        <x:v>ADP NOT LOADED</x:v>
      </x:c>
      <x:c r="M159" s="26" t="str">
        <x:v>Projection-only v1.0</x:v>
      </x:c>
    </x:row>
    <x:row r="160">
      <x:c r="A160" s="26" t="n">
        <x:v>156</x:v>
      </x:c>
      <x:c r="B160" s="26" t="n">
        <x:v>5</x:v>
      </x:c>
      <x:c r="C160" s="26" t="n">
        <x:v>156</x:v>
      </x:c>
      <x:c r="D160" s="26" t="str">
        <x:v>Marquez Valdes-Scantling</x:v>
      </x:c>
      <x:c r="E160" s="26" t="str">
        <x:v>DAL</x:v>
      </x:c>
      <x:c r="F160" s="26" t="str">
        <x:v>WR</x:v>
      </x:c>
      <x:c r="G160" s="28" t="n">
        <x:v>14.3</x:v>
      </x:c>
      <x:c r="H160" s="28" t="n">
        <x:v>-96.3</x:v>
      </x:c>
      <x:c r="I160" s="28" t="n">
        <x:v>0</x:v>
      </x:c>
      <x:c r="J160" s="28" t="n">
        <x:v>-96.3</x:v>
      </x:c>
      <x:c r="K160" s="27"/>
      <x:c r="L160" s="31" t="str">
        <x:v>ADP NOT LOADED</x:v>
      </x:c>
      <x:c r="M160" s="26" t="str">
        <x:v>Projection-only v1.0</x:v>
      </x:c>
    </x:row>
    <x:row r="161">
      <x:c r="A161" s="26" t="n">
        <x:v>157</x:v>
      </x:c>
      <x:c r="B161" s="26" t="n">
        <x:v>5</x:v>
      </x:c>
      <x:c r="C161" s="26" t="n">
        <x:v>157</x:v>
      </x:c>
      <x:c r="D161" s="26" t="str">
        <x:v>Xavier Weaver</x:v>
      </x:c>
      <x:c r="E161" s="26" t="str">
        <x:v>ARI</x:v>
      </x:c>
      <x:c r="F161" s="26" t="str">
        <x:v>WR</x:v>
      </x:c>
      <x:c r="G161" s="28" t="n">
        <x:v>13.2</x:v>
      </x:c>
      <x:c r="H161" s="28" t="n">
        <x:v>-97.39999999999999</x:v>
      </x:c>
      <x:c r="I161" s="28" t="n">
        <x:v>0</x:v>
      </x:c>
      <x:c r="J161" s="28" t="n">
        <x:v>-97.39999999999999</x:v>
      </x:c>
      <x:c r="K161" s="27"/>
      <x:c r="L161" s="31" t="str">
        <x:v>ADP NOT LOADED</x:v>
      </x:c>
      <x:c r="M161" s="26" t="str">
        <x:v>Projection-only v1.0</x:v>
      </x:c>
    </x:row>
    <x:row r="162">
      <x:c r="A162" s="26" t="n">
        <x:v>158</x:v>
      </x:c>
      <x:c r="B162" s="26" t="n">
        <x:v>5</x:v>
      </x:c>
      <x:c r="C162" s="26" t="n">
        <x:v>158</x:v>
      </x:c>
      <x:c r="D162" s="26" t="str">
        <x:v>Tez Johnson</x:v>
      </x:c>
      <x:c r="E162" s="26" t="str">
        <x:v>TB</x:v>
      </x:c>
      <x:c r="F162" s="26" t="str">
        <x:v>WR</x:v>
      </x:c>
      <x:c r="G162" s="28" t="n">
        <x:v>13</x:v>
      </x:c>
      <x:c r="H162" s="28" t="n">
        <x:v>-97.6</x:v>
      </x:c>
      <x:c r="I162" s="28" t="n">
        <x:v>0</x:v>
      </x:c>
      <x:c r="J162" s="28" t="n">
        <x:v>-97.6</x:v>
      </x:c>
      <x:c r="K162" s="27"/>
      <x:c r="L162" s="31" t="str">
        <x:v>ADP NOT LOADED</x:v>
      </x:c>
      <x:c r="M162" s="26" t="str">
        <x:v>Projection-only v1.0</x:v>
      </x:c>
    </x:row>
    <x:row r="163">
      <x:c r="A163" s="26" t="n">
        <x:v>159</x:v>
      </x:c>
      <x:c r="B163" s="26" t="n">
        <x:v>5</x:v>
      </x:c>
      <x:c r="C163" s="26" t="n">
        <x:v>159</x:v>
      </x:c>
      <x:c r="D163" s="26" t="str">
        <x:v>Kevin Austin Jr.</x:v>
      </x:c>
      <x:c r="E163" s="26" t="str">
        <x:v>NO</x:v>
      </x:c>
      <x:c r="F163" s="26" t="str">
        <x:v>WR</x:v>
      </x:c>
      <x:c r="G163" s="28" t="n">
        <x:v>11.8</x:v>
      </x:c>
      <x:c r="H163" s="28" t="n">
        <x:v>-98.8</x:v>
      </x:c>
      <x:c r="I163" s="28" t="n">
        <x:v>0</x:v>
      </x:c>
      <x:c r="J163" s="28" t="n">
        <x:v>-98.8</x:v>
      </x:c>
      <x:c r="K163" s="27"/>
      <x:c r="L163" s="31" t="str">
        <x:v>ADP NOT LOADED</x:v>
      </x:c>
      <x:c r="M163" s="26" t="str">
        <x:v>Projection-only v1.0</x:v>
      </x:c>
    </x:row>
    <x:row r="164">
      <x:c r="A164" s="26" t="n">
        <x:v>160</x:v>
      </x:c>
      <x:c r="B164" s="26" t="n">
        <x:v>5</x:v>
      </x:c>
      <x:c r="C164" s="26" t="n">
        <x:v>160</x:v>
      </x:c>
      <x:c r="D164" s="26" t="str">
        <x:v>Lil'Jordan Humphrey</x:v>
      </x:c>
      <x:c r="E164" s="26" t="str">
        <x:v>DEN</x:v>
      </x:c>
      <x:c r="F164" s="26" t="str">
        <x:v>WR</x:v>
      </x:c>
      <x:c r="G164" s="28" t="n">
        <x:v>10.2</x:v>
      </x:c>
      <x:c r="H164" s="28" t="n">
        <x:v>-100.39999999999999</x:v>
      </x:c>
      <x:c r="I164" s="28" t="n">
        <x:v>0</x:v>
      </x:c>
      <x:c r="J164" s="28" t="n">
        <x:v>-100.39999999999999</x:v>
      </x:c>
      <x:c r="K164" s="27"/>
      <x:c r="L164" s="31" t="str">
        <x:v>ADP NOT LOADED</x:v>
      </x:c>
      <x:c r="M164" s="26" t="str">
        <x:v>Projection-only v1.0</x:v>
      </x:c>
    </x:row>
    <x:row r="165">
      <x:c r="A165" s="26" t="n">
        <x:v>161</x:v>
      </x:c>
      <x:c r="B165" s="26" t="n">
        <x:v>5</x:v>
      </x:c>
      <x:c r="C165" s="26" t="n">
        <x:v>161</x:v>
      </x:c>
      <x:c r="D165" s="26" t="str">
        <x:v>Xavier Smith</x:v>
      </x:c>
      <x:c r="E165" s="26" t="str">
        <x:v>LAR</x:v>
      </x:c>
      <x:c r="F165" s="26" t="str">
        <x:v>WR</x:v>
      </x:c>
      <x:c r="G165" s="28" t="n">
        <x:v>9.8</x:v>
      </x:c>
      <x:c r="H165" s="28" t="n">
        <x:v>-100.8</x:v>
      </x:c>
      <x:c r="I165" s="28" t="n">
        <x:v>0</x:v>
      </x:c>
      <x:c r="J165" s="28" t="n">
        <x:v>-100.8</x:v>
      </x:c>
      <x:c r="K165" s="27"/>
      <x:c r="L165" s="31" t="str">
        <x:v>ADP NOT LOADED</x:v>
      </x:c>
      <x:c r="M165" s="26" t="str">
        <x:v>Projection-only v1.0</x:v>
      </x:c>
    </x:row>
    <x:row r="166">
      <x:c r="A166" s="26" t="n">
        <x:v>162</x:v>
      </x:c>
      <x:c r="B166" s="26" t="n">
        <x:v>5</x:v>
      </x:c>
      <x:c r="C166" s="26" t="n">
        <x:v>162</x:v>
      </x:c>
      <x:c r="D166" s="26" t="str">
        <x:v>Ben Skowronek</x:v>
      </x:c>
      <x:c r="E166" s="26" t="str">
        <x:v>PIT</x:v>
      </x:c>
      <x:c r="F166" s="26" t="str">
        <x:v>WR</x:v>
      </x:c>
      <x:c r="G166" s="28" t="n">
        <x:v>9.3</x:v>
      </x:c>
      <x:c r="H166" s="28" t="n">
        <x:v>-101.3</x:v>
      </x:c>
      <x:c r="I166" s="28" t="n">
        <x:v>0</x:v>
      </x:c>
      <x:c r="J166" s="28" t="n">
        <x:v>-101.3</x:v>
      </x:c>
      <x:c r="K166" s="27"/>
      <x:c r="L166" s="31" t="str">
        <x:v>ADP NOT LOADED</x:v>
      </x:c>
      <x:c r="M166" s="26" t="str">
        <x:v>Projection-only v1.0</x:v>
      </x:c>
    </x:row>
    <x:row r="167">
      <x:c r="A167" s="26" t="n">
        <x:v>163</x:v>
      </x:c>
      <x:c r="B167" s="26" t="n">
        <x:v>5</x:v>
      </x:c>
      <x:c r="C167" s="26" t="n">
        <x:v>163</x:v>
      </x:c>
      <x:c r="D167" s="26" t="str">
        <x:v>Greg Dortch</x:v>
      </x:c>
      <x:c r="E167" s="26" t="str">
        <x:v>DET</x:v>
      </x:c>
      <x:c r="F167" s="26" t="str">
        <x:v>WR</x:v>
      </x:c>
      <x:c r="G167" s="28" t="n">
        <x:v>10</x:v>
      </x:c>
      <x:c r="H167" s="28" t="n">
        <x:v>-100.6</x:v>
      </x:c>
      <x:c r="I167" s="28" t="n">
        <x:v>0</x:v>
      </x:c>
      <x:c r="J167" s="28" t="n">
        <x:v>-100.6</x:v>
      </x:c>
      <x:c r="K167" s="27"/>
      <x:c r="L167" s="31" t="str">
        <x:v>ADP NOT LOADED</x:v>
      </x:c>
      <x:c r="M167" s="26" t="str">
        <x:v>Projection-only v1.0</x:v>
      </x:c>
    </x:row>
    <x:row r="168">
      <x:c r="A168" s="26" t="n">
        <x:v>164</x:v>
      </x:c>
      <x:c r="B168" s="26" t="n">
        <x:v>5</x:v>
      </x:c>
      <x:c r="C168" s="26" t="n">
        <x:v>164</x:v>
      </x:c>
      <x:c r="D168" s="26" t="str">
        <x:v>Bo Melton</x:v>
      </x:c>
      <x:c r="E168" s="26" t="str">
        <x:v>GB</x:v>
      </x:c>
      <x:c r="F168" s="26" t="str">
        <x:v>WR</x:v>
      </x:c>
      <x:c r="G168" s="28" t="n">
        <x:v>8.5</x:v>
      </x:c>
      <x:c r="H168" s="28" t="n">
        <x:v>-102.1</x:v>
      </x:c>
      <x:c r="I168" s="28" t="n">
        <x:v>0</x:v>
      </x:c>
      <x:c r="J168" s="28" t="n">
        <x:v>-102.1</x:v>
      </x:c>
      <x:c r="K168" s="27"/>
      <x:c r="L168" s="31" t="str">
        <x:v>ADP NOT LOADED</x:v>
      </x:c>
      <x:c r="M168" s="26" t="str">
        <x:v>Projection-only v1.0</x:v>
      </x:c>
    </x:row>
    <x:row r="169">
      <x:c r="A169" s="26" t="n">
        <x:v>165</x:v>
      </x:c>
      <x:c r="B169" s="26" t="n">
        <x:v>5</x:v>
      </x:c>
      <x:c r="C169" s="26" t="n">
        <x:v>165</x:v>
      </x:c>
      <x:c r="D169" s="26" t="str">
        <x:v>Colbie Young</x:v>
      </x:c>
      <x:c r="E169" s="26" t="str">
        <x:v>CIN</x:v>
      </x:c>
      <x:c r="F169" s="26" t="str">
        <x:v>WR</x:v>
      </x:c>
      <x:c r="G169" s="28" t="n">
        <x:v>7.9</x:v>
      </x:c>
      <x:c r="H169" s="28" t="n">
        <x:v>-102.69999999999999</x:v>
      </x:c>
      <x:c r="I169" s="28" t="n">
        <x:v>0</x:v>
      </x:c>
      <x:c r="J169" s="28" t="n">
        <x:v>-102.69999999999999</x:v>
      </x:c>
      <x:c r="K169" s="27"/>
      <x:c r="L169" s="31" t="str">
        <x:v>ADP NOT LOADED</x:v>
      </x:c>
      <x:c r="M169" s="26" t="str">
        <x:v>Projection-only v1.0</x:v>
      </x:c>
    </x:row>
    <x:row r="170">
      <x:c r="A170" s="26" t="n">
        <x:v>166</x:v>
      </x:c>
      <x:c r="B170" s="26" t="n">
        <x:v>5</x:v>
      </x:c>
      <x:c r="C170" s="26" t="n">
        <x:v>166</x:v>
      </x:c>
      <x:c r="D170" s="26" t="str">
        <x:v>Reggie Virgil</x:v>
      </x:c>
      <x:c r="E170" s="26" t="str">
        <x:v>ARI</x:v>
      </x:c>
      <x:c r="F170" s="26" t="str">
        <x:v>WR</x:v>
      </x:c>
      <x:c r="G170" s="28" t="n">
        <x:v>7.4</x:v>
      </x:c>
      <x:c r="H170" s="28" t="n">
        <x:v>-103.19999999999999</x:v>
      </x:c>
      <x:c r="I170" s="28" t="n">
        <x:v>0</x:v>
      </x:c>
      <x:c r="J170" s="28" t="n">
        <x:v>-103.19999999999999</x:v>
      </x:c>
      <x:c r="K170" s="27"/>
      <x:c r="L170" s="31" t="str">
        <x:v>ADP NOT LOADED</x:v>
      </x:c>
      <x:c r="M170" s="26" t="str">
        <x:v>Projection-only v1.0</x:v>
      </x:c>
    </x:row>
    <x:row r="171">
      <x:c r="A171" s="26" t="n">
        <x:v>167</x:v>
      </x:c>
      <x:c r="B171" s="26" t="n">
        <x:v>5</x:v>
      </x:c>
      <x:c r="C171" s="26" t="n">
        <x:v>167</x:v>
      </x:c>
      <x:c r="D171" s="26" t="str">
        <x:v>Brycen Tremayne</x:v>
      </x:c>
      <x:c r="E171" s="26" t="str">
        <x:v>CAR</x:v>
      </x:c>
      <x:c r="F171" s="26" t="str">
        <x:v>WR</x:v>
      </x:c>
      <x:c r="G171" s="28" t="n">
        <x:v>7</x:v>
      </x:c>
      <x:c r="H171" s="28" t="n">
        <x:v>-103.6</x:v>
      </x:c>
      <x:c r="I171" s="28" t="n">
        <x:v>0</x:v>
      </x:c>
      <x:c r="J171" s="28" t="n">
        <x:v>-103.6</x:v>
      </x:c>
      <x:c r="K171" s="27"/>
      <x:c r="L171" s="31" t="str">
        <x:v>ADP NOT LOADED</x:v>
      </x:c>
      <x:c r="M171" s="26" t="str">
        <x:v>Projection-only v1.0</x:v>
      </x:c>
    </x:row>
    <x:row r="172">
      <x:c r="A172" s="26" t="n">
        <x:v>168</x:v>
      </x:c>
      <x:c r="B172" s="26" t="n">
        <x:v>5</x:v>
      </x:c>
      <x:c r="C172" s="26" t="n">
        <x:v>168</x:v>
      </x:c>
      <x:c r="D172" s="26" t="str">
        <x:v>Elijah Moore</x:v>
      </x:c>
      <x:c r="E172" s="26" t="str">
        <x:v>PHI</x:v>
      </x:c>
      <x:c r="F172" s="26" t="str">
        <x:v>WR</x:v>
      </x:c>
      <x:c r="G172" s="28" t="n">
        <x:v>6.7</x:v>
      </x:c>
      <x:c r="H172" s="28" t="n">
        <x:v>-103.89999999999999</x:v>
      </x:c>
      <x:c r="I172" s="28" t="n">
        <x:v>0</x:v>
      </x:c>
      <x:c r="J172" s="28" t="n">
        <x:v>-103.89999999999999</x:v>
      </x:c>
      <x:c r="K172" s="27"/>
      <x:c r="L172" s="31" t="str">
        <x:v>ADP NOT LOADED</x:v>
      </x:c>
      <x:c r="M172" s="26" t="str">
        <x:v>Projection-only v1.0</x:v>
      </x:c>
    </x:row>
    <x:row r="173">
      <x:c r="A173" s="26" t="n">
        <x:v>169</x:v>
      </x:c>
      <x:c r="B173" s="26" t="n">
        <x:v>5</x:v>
      </x:c>
      <x:c r="C173" s="26" t="n">
        <x:v>169</x:v>
      </x:c>
      <x:c r="D173" s="26" t="str">
        <x:v>Jimmy Horn Jr.</x:v>
      </x:c>
      <x:c r="E173" s="26" t="str">
        <x:v>CAR</x:v>
      </x:c>
      <x:c r="F173" s="26" t="str">
        <x:v>WR</x:v>
      </x:c>
      <x:c r="G173" s="28" t="n">
        <x:v>7.3</x:v>
      </x:c>
      <x:c r="H173" s="28" t="n">
        <x:v>-103.3</x:v>
      </x:c>
      <x:c r="I173" s="28" t="n">
        <x:v>0</x:v>
      </x:c>
      <x:c r="J173" s="28" t="n">
        <x:v>-103.3</x:v>
      </x:c>
      <x:c r="K173" s="27"/>
      <x:c r="L173" s="31" t="str">
        <x:v>ADP NOT LOADED</x:v>
      </x:c>
      <x:c r="M173" s="26" t="str">
        <x:v>Projection-only v1.0</x:v>
      </x:c>
    </x:row>
    <x:row r="174">
      <x:c r="A174" s="26" t="n">
        <x:v>170</x:v>
      </x:c>
      <x:c r="B174" s="26" t="n">
        <x:v>5</x:v>
      </x:c>
      <x:c r="C174" s="26" t="n">
        <x:v>170</x:v>
      </x:c>
      <x:c r="D174" s="26" t="str">
        <x:v>Noah Thomas</x:v>
      </x:c>
      <x:c r="E174" s="26" t="str">
        <x:v>CIN</x:v>
      </x:c>
      <x:c r="F174" s="26" t="str">
        <x:v>WR</x:v>
      </x:c>
      <x:c r="G174" s="28" t="n">
        <x:v>6.4</x:v>
      </x:c>
      <x:c r="H174" s="28" t="n">
        <x:v>-104.19999999999999</x:v>
      </x:c>
      <x:c r="I174" s="28" t="n">
        <x:v>0</x:v>
      </x:c>
      <x:c r="J174" s="28" t="n">
        <x:v>-104.19999999999999</x:v>
      </x:c>
      <x:c r="K174" s="27"/>
      <x:c r="L174" s="31" t="str">
        <x:v>ADP NOT LOADED</x:v>
      </x:c>
      <x:c r="M174" s="26" t="str">
        <x:v>Projection-only v1.0</x:v>
      </x:c>
    </x:row>
    <x:row r="175">
      <x:c r="A175" s="26" t="n">
        <x:v>171</x:v>
      </x:c>
      <x:c r="B175" s="26" t="n">
        <x:v>5</x:v>
      </x:c>
      <x:c r="C175" s="26" t="n">
        <x:v>171</x:v>
      </x:c>
      <x:c r="D175" s="26" t="str">
        <x:v>Tai Felton</x:v>
      </x:c>
      <x:c r="E175" s="26" t="str">
        <x:v>MIN</x:v>
      </x:c>
      <x:c r="F175" s="26" t="str">
        <x:v>WR</x:v>
      </x:c>
      <x:c r="G175" s="28" t="n">
        <x:v>6.4</x:v>
      </x:c>
      <x:c r="H175" s="28" t="n">
        <x:v>-104.19999999999999</x:v>
      </x:c>
      <x:c r="I175" s="28" t="n">
        <x:v>0</x:v>
      </x:c>
      <x:c r="J175" s="28" t="n">
        <x:v>-104.19999999999999</x:v>
      </x:c>
      <x:c r="K175" s="27"/>
      <x:c r="L175" s="31" t="str">
        <x:v>ADP NOT LOADED</x:v>
      </x:c>
      <x:c r="M175" s="26" t="str">
        <x:v>Projection-only v1.0</x:v>
      </x:c>
    </x:row>
    <x:row r="176">
      <x:c r="A176" s="26" t="n">
        <x:v>172</x:v>
      </x:c>
      <x:c r="B176" s="26" t="n">
        <x:v>5</x:v>
      </x:c>
      <x:c r="C176" s="26" t="n">
        <x:v>172</x:v>
      </x:c>
      <x:c r="D176" s="26" t="str">
        <x:v>CJ Daniels</x:v>
      </x:c>
      <x:c r="E176" s="26" t="str">
        <x:v>LAR</x:v>
      </x:c>
      <x:c r="F176" s="26" t="str">
        <x:v>WR</x:v>
      </x:c>
      <x:c r="G176" s="28" t="n">
        <x:v>6.4</x:v>
      </x:c>
      <x:c r="H176" s="28" t="n">
        <x:v>-104.19999999999999</x:v>
      </x:c>
      <x:c r="I176" s="28" t="n">
        <x:v>0</x:v>
      </x:c>
      <x:c r="J176" s="28" t="n">
        <x:v>-104.19999999999999</x:v>
      </x:c>
      <x:c r="K176" s="27"/>
      <x:c r="L176" s="31" t="str">
        <x:v>ADP NOT LOADED</x:v>
      </x:c>
      <x:c r="M176" s="26" t="str">
        <x:v>Projection-only v1.0</x:v>
      </x:c>
    </x:row>
    <x:row r="177">
      <x:c r="A177" s="26" t="n">
        <x:v>173</x:v>
      </x:c>
      <x:c r="B177" s="26" t="n">
        <x:v>5</x:v>
      </x:c>
      <x:c r="C177" s="26" t="n">
        <x:v>173</x:v>
      </x:c>
      <x:c r="D177" s="26" t="str">
        <x:v>Isaiah Williams</x:v>
      </x:c>
      <x:c r="E177" s="26" t="str">
        <x:v>NYJ</x:v>
      </x:c>
      <x:c r="F177" s="26" t="str">
        <x:v>WR</x:v>
      </x:c>
      <x:c r="G177" s="28" t="n">
        <x:v>6.5</x:v>
      </x:c>
      <x:c r="H177" s="28" t="n">
        <x:v>-104.1</x:v>
      </x:c>
      <x:c r="I177" s="28" t="n">
        <x:v>0</x:v>
      </x:c>
      <x:c r="J177" s="28" t="n">
        <x:v>-104.1</x:v>
      </x:c>
      <x:c r="K177" s="27"/>
      <x:c r="L177" s="31" t="str">
        <x:v>ADP NOT LOADED</x:v>
      </x:c>
      <x:c r="M177" s="26" t="str">
        <x:v>Projection-only v1.0</x:v>
      </x:c>
    </x:row>
    <x:row r="178">
      <x:c r="A178" s="26" t="n">
        <x:v>174</x:v>
      </x:c>
      <x:c r="B178" s="26" t="n">
        <x:v>5</x:v>
      </x:c>
      <x:c r="C178" s="26" t="n">
        <x:v>174</x:v>
      </x:c>
      <x:c r="D178" s="26" t="str">
        <x:v>Darius Cooper</x:v>
      </x:c>
      <x:c r="E178" s="26" t="str">
        <x:v>PHI</x:v>
      </x:c>
      <x:c r="F178" s="26" t="str">
        <x:v>WR</x:v>
      </x:c>
      <x:c r="G178" s="28" t="n">
        <x:v>6.3</x:v>
      </x:c>
      <x:c r="H178" s="28" t="n">
        <x:v>-104.3</x:v>
      </x:c>
      <x:c r="I178" s="28" t="n">
        <x:v>0</x:v>
      </x:c>
      <x:c r="J178" s="28" t="n">
        <x:v>-104.3</x:v>
      </x:c>
      <x:c r="K178" s="27"/>
      <x:c r="L178" s="31" t="str">
        <x:v>ADP NOT LOADED</x:v>
      </x:c>
      <x:c r="M178" s="26" t="str">
        <x:v>Projection-only v1.0</x:v>
      </x:c>
    </x:row>
    <x:row r="179">
      <x:c r="A179" s="26" t="n">
        <x:v>175</x:v>
      </x:c>
      <x:c r="B179" s="26" t="n">
        <x:v>5</x:v>
      </x:c>
      <x:c r="C179" s="26" t="n">
        <x:v>175</x:v>
      </x:c>
      <x:c r="D179" s="26" t="str">
        <x:v>Derius Davis</x:v>
      </x:c>
      <x:c r="E179" s="26" t="str">
        <x:v>LAC</x:v>
      </x:c>
      <x:c r="F179" s="26" t="str">
        <x:v>WR</x:v>
      </x:c>
      <x:c r="G179" s="28" t="n">
        <x:v>6.1</x:v>
      </x:c>
      <x:c r="H179" s="28" t="n">
        <x:v>-104.5</x:v>
      </x:c>
      <x:c r="I179" s="28" t="n">
        <x:v>0</x:v>
      </x:c>
      <x:c r="J179" s="28" t="n">
        <x:v>-104.5</x:v>
      </x:c>
      <x:c r="K179" s="27"/>
      <x:c r="L179" s="31" t="str">
        <x:v>ADP NOT LOADED</x:v>
      </x:c>
      <x:c r="M179" s="26" t="str">
        <x:v>Projection-only v1.0</x:v>
      </x:c>
    </x:row>
    <x:row r="180">
      <x:c r="A180" s="26" t="n">
        <x:v>176</x:v>
      </x:c>
      <x:c r="B180" s="26" t="n">
        <x:v>5</x:v>
      </x:c>
      <x:c r="C180" s="26" t="n">
        <x:v>176</x:v>
      </x:c>
      <x:c r="D180" s="26" t="str">
        <x:v>Tyrell Shavers</x:v>
      </x:c>
      <x:c r="E180" s="26" t="str">
        <x:v>BUF</x:v>
      </x:c>
      <x:c r="F180" s="26" t="str">
        <x:v>WR</x:v>
      </x:c>
      <x:c r="G180" s="28" t="n">
        <x:v>5.9</x:v>
      </x:c>
      <x:c r="H180" s="28" t="n">
        <x:v>-104.69999999999999</x:v>
      </x:c>
      <x:c r="I180" s="28" t="n">
        <x:v>0</x:v>
      </x:c>
      <x:c r="J180" s="28" t="n">
        <x:v>-104.69999999999999</x:v>
      </x:c>
      <x:c r="K180" s="27"/>
      <x:c r="L180" s="31" t="str">
        <x:v>ADP NOT LOADED</x:v>
      </x:c>
      <x:c r="M180" s="26" t="str">
        <x:v>Projection-only v1.0</x:v>
      </x:c>
    </x:row>
    <x:row r="181">
      <x:c r="A181" s="26" t="n">
        <x:v>177</x:v>
      </x:c>
      <x:c r="B181" s="26" t="n">
        <x:v>5</x:v>
      </x:c>
      <x:c r="C181" s="26" t="n">
        <x:v>177</x:v>
      </x:c>
      <x:c r="D181" s="26" t="str">
        <x:v>Cody White</x:v>
      </x:c>
      <x:c r="E181" s="26" t="str">
        <x:v>SEA</x:v>
      </x:c>
      <x:c r="F181" s="26" t="str">
        <x:v>WR</x:v>
      </x:c>
      <x:c r="G181" s="28" t="n">
        <x:v>5.8</x:v>
      </x:c>
      <x:c r="H181" s="28" t="n">
        <x:v>-104.8</x:v>
      </x:c>
      <x:c r="I181" s="28" t="n">
        <x:v>0</x:v>
      </x:c>
      <x:c r="J181" s="28" t="n">
        <x:v>-104.8</x:v>
      </x:c>
      <x:c r="K181" s="27"/>
      <x:c r="L181" s="31" t="str">
        <x:v>ADP NOT LOADED</x:v>
      </x:c>
      <x:c r="M181" s="26" t="str">
        <x:v>Projection-only v1.0</x:v>
      </x:c>
    </x:row>
    <x:row r="182">
      <x:c r="A182" s="26" t="n">
        <x:v>178</x:v>
      </x:c>
      <x:c r="B182" s="26" t="n">
        <x:v>5</x:v>
      </x:c>
      <x:c r="C182" s="26" t="n">
        <x:v>178</x:v>
      </x:c>
      <x:c r="D182" s="26" t="str">
        <x:v>Malachi Corley</x:v>
      </x:c>
      <x:c r="E182" s="26" t="str">
        <x:v>CLE</x:v>
      </x:c>
      <x:c r="F182" s="26" t="str">
        <x:v>WR</x:v>
      </x:c>
      <x:c r="G182" s="28" t="n">
        <x:v>6.6</x:v>
      </x:c>
      <x:c r="H182" s="28" t="n">
        <x:v>-104</x:v>
      </x:c>
      <x:c r="I182" s="28" t="n">
        <x:v>0</x:v>
      </x:c>
      <x:c r="J182" s="28" t="n">
        <x:v>-104</x:v>
      </x:c>
      <x:c r="K182" s="27"/>
      <x:c r="L182" s="31" t="str">
        <x:v>ADP NOT LOADED</x:v>
      </x:c>
      <x:c r="M182" s="26" t="str">
        <x:v>Projection-only v1.0</x:v>
      </x:c>
    </x:row>
    <x:row r="183">
      <x:c r="A183" s="26" t="n">
        <x:v>179</x:v>
      </x:c>
      <x:c r="B183" s="26" t="n">
        <x:v>5</x:v>
      </x:c>
      <x:c r="C183" s="26" t="n">
        <x:v>179</x:v>
      </x:c>
      <x:c r="D183" s="26" t="str">
        <x:v>Isaiah Hodgins</x:v>
      </x:c>
      <x:c r="E183" s="26" t="str">
        <x:v>NYG</x:v>
      </x:c>
      <x:c r="F183" s="26" t="str">
        <x:v>WR</x:v>
      </x:c>
      <x:c r="G183" s="28" t="n">
        <x:v>5.4</x:v>
      </x:c>
      <x:c r="H183" s="28" t="n">
        <x:v>-105.19999999999999</x:v>
      </x:c>
      <x:c r="I183" s="28" t="n">
        <x:v>0</x:v>
      </x:c>
      <x:c r="J183" s="28" t="n">
        <x:v>-105.19999999999999</x:v>
      </x:c>
      <x:c r="K183" s="27"/>
      <x:c r="L183" s="31" t="str">
        <x:v>ADP NOT LOADED</x:v>
      </x:c>
      <x:c r="M183" s="26" t="str">
        <x:v>Projection-only v1.0</x:v>
      </x:c>
    </x:row>
    <x:row r="184">
      <x:c r="A184" s="26" t="n">
        <x:v>180</x:v>
      </x:c>
      <x:c r="B184" s="26" t="n">
        <x:v>5</x:v>
      </x:c>
      <x:c r="C184" s="26" t="n">
        <x:v>180</x:v>
      </x:c>
      <x:c r="D184" s="26" t="str">
        <x:v>Mason Tipton</x:v>
      </x:c>
      <x:c r="E184" s="26" t="str">
        <x:v>NO</x:v>
      </x:c>
      <x:c r="F184" s="26" t="str">
        <x:v>WR</x:v>
      </x:c>
      <x:c r="G184" s="28" t="n">
        <x:v>6.1</x:v>
      </x:c>
      <x:c r="H184" s="28" t="n">
        <x:v>-104.5</x:v>
      </x:c>
      <x:c r="I184" s="28" t="n">
        <x:v>0</x:v>
      </x:c>
      <x:c r="J184" s="28" t="n">
        <x:v>-104.5</x:v>
      </x:c>
      <x:c r="K184" s="27"/>
      <x:c r="L184" s="31" t="str">
        <x:v>ADP NOT LOADED</x:v>
      </x:c>
      <x:c r="M184" s="26" t="str">
        <x:v>Projection-only v1.0</x:v>
      </x:c>
    </x:row>
    <x:row r="185">
      <x:c r="A185" s="26" t="n">
        <x:v>181</x:v>
      </x:c>
      <x:c r="B185" s="26" t="n">
        <x:v>5</x:v>
      </x:c>
      <x:c r="C185" s="26" t="n">
        <x:v>181</x:v>
      </x:c>
      <x:c r="D185" s="26" t="str">
        <x:v>David Moore</x:v>
      </x:c>
      <x:c r="E185" s="26" t="str">
        <x:v>CAR</x:v>
      </x:c>
      <x:c r="F185" s="26" t="str">
        <x:v>WR</x:v>
      </x:c>
      <x:c r="G185" s="28" t="n">
        <x:v>5.1</x:v>
      </x:c>
      <x:c r="H185" s="28" t="n">
        <x:v>-105.5</x:v>
      </x:c>
      <x:c r="I185" s="28" t="n">
        <x:v>0</x:v>
      </x:c>
      <x:c r="J185" s="28" t="n">
        <x:v>-105.5</x:v>
      </x:c>
      <x:c r="K185" s="27"/>
      <x:c r="L185" s="31" t="str">
        <x:v>ADP NOT LOADED</x:v>
      </x:c>
      <x:c r="M185" s="26" t="str">
        <x:v>Projection-only v1.0</x:v>
      </x:c>
    </x:row>
    <x:row r="186">
      <x:c r="A186" s="26" t="n">
        <x:v>182</x:v>
      </x:c>
      <x:c r="B186" s="26" t="n">
        <x:v>5</x:v>
      </x:c>
      <x:c r="C186" s="26" t="n">
        <x:v>182</x:v>
      </x:c>
      <x:c r="D186" s="26" t="str">
        <x:v>Jonathan Mingo</x:v>
      </x:c>
      <x:c r="E186" s="26" t="str">
        <x:v>DAL</x:v>
      </x:c>
      <x:c r="F186" s="26" t="str">
        <x:v>WR</x:v>
      </x:c>
      <x:c r="G186" s="28" t="n">
        <x:v>5</x:v>
      </x:c>
      <x:c r="H186" s="28" t="n">
        <x:v>-105.6</x:v>
      </x:c>
      <x:c r="I186" s="28" t="n">
        <x:v>0</x:v>
      </x:c>
      <x:c r="J186" s="28" t="n">
        <x:v>-105.6</x:v>
      </x:c>
      <x:c r="K186" s="27"/>
      <x:c r="L186" s="31" t="str">
        <x:v>ADP NOT LOADED</x:v>
      </x:c>
      <x:c r="M186" s="26" t="str">
        <x:v>Projection-only v1.0</x:v>
      </x:c>
    </x:row>
    <x:row r="187">
      <x:c r="A187" s="26" t="n">
        <x:v>183</x:v>
      </x:c>
      <x:c r="B187" s="26" t="n">
        <x:v>5</x:v>
      </x:c>
      <x:c r="C187" s="26" t="n">
        <x:v>183</x:v>
      </x:c>
      <x:c r="D187" s="26" t="str">
        <x:v>Chase Roberts</x:v>
      </x:c>
      <x:c r="E187" s="26" t="str">
        <x:v>LV</x:v>
      </x:c>
      <x:c r="F187" s="26" t="str">
        <x:v>WR</x:v>
      </x:c>
      <x:c r="G187" s="28" t="n">
        <x:v>4.5</x:v>
      </x:c>
      <x:c r="H187" s="28" t="n">
        <x:v>-106.1</x:v>
      </x:c>
      <x:c r="I187" s="28" t="n">
        <x:v>0</x:v>
      </x:c>
      <x:c r="J187" s="28" t="n">
        <x:v>-106.1</x:v>
      </x:c>
      <x:c r="K187" s="27"/>
      <x:c r="L187" s="31" t="str">
        <x:v>ADP NOT LOADED</x:v>
      </x:c>
      <x:c r="M187" s="26" t="str">
        <x:v>Projection-only v1.0</x:v>
      </x:c>
    </x:row>
    <x:row r="188">
      <x:c r="A188" s="26" t="n">
        <x:v>184</x:v>
      </x:c>
      <x:c r="B188" s="26" t="n">
        <x:v>5</x:v>
      </x:c>
      <x:c r="C188" s="26" t="n">
        <x:v>184</x:v>
      </x:c>
      <x:c r="D188" s="26" t="str">
        <x:v>Kaden Wetjen</x:v>
      </x:c>
      <x:c r="E188" s="26" t="str">
        <x:v>PIT</x:v>
      </x:c>
      <x:c r="F188" s="26" t="str">
        <x:v>WR</x:v>
      </x:c>
      <x:c r="G188" s="28" t="n">
        <x:v>4.8</x:v>
      </x:c>
      <x:c r="H188" s="28" t="n">
        <x:v>-105.8</x:v>
      </x:c>
      <x:c r="I188" s="28" t="n">
        <x:v>0</x:v>
      </x:c>
      <x:c r="J188" s="28" t="n">
        <x:v>-105.8</x:v>
      </x:c>
      <x:c r="K188" s="27"/>
      <x:c r="L188" s="31" t="str">
        <x:v>ADP NOT LOADED</x:v>
      </x:c>
      <x:c r="M188" s="26" t="str">
        <x:v>Projection-only v1.0</x:v>
      </x:c>
    </x:row>
    <x:row r="189">
      <x:c r="A189" s="26" t="n">
        <x:v>185</x:v>
      </x:c>
      <x:c r="B189" s="26" t="n">
        <x:v>5</x:v>
      </x:c>
      <x:c r="C189" s="26" t="n">
        <x:v>185</x:v>
      </x:c>
      <x:c r="D189" s="26" t="str">
        <x:v>Anthony Gould</x:v>
      </x:c>
      <x:c r="E189" s="26" t="str">
        <x:v>IND</x:v>
      </x:c>
      <x:c r="F189" s="26" t="str">
        <x:v>WR</x:v>
      </x:c>
      <x:c r="G189" s="28" t="n">
        <x:v>4.6</x:v>
      </x:c>
      <x:c r="H189" s="28" t="n">
        <x:v>-106</x:v>
      </x:c>
      <x:c r="I189" s="28" t="n">
        <x:v>0</x:v>
      </x:c>
      <x:c r="J189" s="28" t="n">
        <x:v>-106</x:v>
      </x:c>
      <x:c r="K189" s="27"/>
      <x:c r="L189" s="31" t="str">
        <x:v>ADP NOT LOADED</x:v>
      </x:c>
      <x:c r="M189" s="26" t="str">
        <x:v>Projection-only v1.0</x:v>
      </x:c>
    </x:row>
    <x:row r="190">
      <x:c r="A190" s="26" t="n">
        <x:v>186</x:v>
      </x:c>
      <x:c r="B190" s="26" t="n">
        <x:v>5</x:v>
      </x:c>
      <x:c r="C190" s="26" t="n">
        <x:v>186</x:v>
      </x:c>
      <x:c r="D190" s="26" t="str">
        <x:v>Dane Key</x:v>
      </x:c>
      <x:c r="E190" s="26" t="str">
        <x:v>DEN</x:v>
      </x:c>
      <x:c r="F190" s="26" t="str">
        <x:v>WR</x:v>
      </x:c>
      <x:c r="G190" s="28" t="n">
        <x:v>4.3</x:v>
      </x:c>
      <x:c r="H190" s="28" t="n">
        <x:v>-106.3</x:v>
      </x:c>
      <x:c r="I190" s="28" t="n">
        <x:v>0</x:v>
      </x:c>
      <x:c r="J190" s="28" t="n">
        <x:v>-106.3</x:v>
      </x:c>
      <x:c r="K190" s="27"/>
      <x:c r="L190" s="31" t="str">
        <x:v>ADP NOT LOADED</x:v>
      </x:c>
      <x:c r="M190" s="26" t="str">
        <x:v>Projection-only v1.0</x:v>
      </x:c>
    </x:row>
    <x:row r="191">
      <x:c r="A191" s="26" t="n">
        <x:v>187</x:v>
      </x:c>
      <x:c r="B191" s="26" t="n">
        <x:v>5</x:v>
      </x:c>
      <x:c r="C191" s="26" t="n">
        <x:v>187</x:v>
      </x:c>
      <x:c r="D191" s="26" t="str">
        <x:v>Tyler Johnson</x:v>
      </x:c>
      <x:c r="E191" s="26" t="str">
        <x:v>DAL</x:v>
      </x:c>
      <x:c r="F191" s="26" t="str">
        <x:v>WR</x:v>
      </x:c>
      <x:c r="G191" s="28" t="n">
        <x:v>4.4</x:v>
      </x:c>
      <x:c r="H191" s="28" t="n">
        <x:v>-106.19999999999999</x:v>
      </x:c>
      <x:c r="I191" s="28" t="n">
        <x:v>0</x:v>
      </x:c>
      <x:c r="J191" s="28" t="n">
        <x:v>-106.19999999999999</x:v>
      </x:c>
      <x:c r="K191" s="27"/>
      <x:c r="L191" s="31" t="str">
        <x:v>ADP NOT LOADED</x:v>
      </x:c>
      <x:c r="M191" s="26" t="str">
        <x:v>Projection-only v1.0</x:v>
      </x:c>
    </x:row>
    <x:row r="192">
      <x:c r="A192" s="26" t="n">
        <x:v>188</x:v>
      </x:c>
      <x:c r="B192" s="26" t="n">
        <x:v>5</x:v>
      </x:c>
      <x:c r="C192" s="26" t="n">
        <x:v>188</x:v>
      </x:c>
      <x:c r="D192" s="26" t="str">
        <x:v>Justin Watson</x:v>
      </x:c>
      <x:c r="E192" s="26" t="str">
        <x:v>HOU</x:v>
      </x:c>
      <x:c r="F192" s="26" t="str">
        <x:v>WR</x:v>
      </x:c>
      <x:c r="G192" s="28" t="n">
        <x:v>4.3</x:v>
      </x:c>
      <x:c r="H192" s="28" t="n">
        <x:v>-106.3</x:v>
      </x:c>
      <x:c r="I192" s="28" t="n">
        <x:v>0</x:v>
      </x:c>
      <x:c r="J192" s="28" t="n">
        <x:v>-106.3</x:v>
      </x:c>
      <x:c r="K192" s="27"/>
      <x:c r="L192" s="31" t="str">
        <x:v>ADP NOT LOADED</x:v>
      </x:c>
      <x:c r="M192" s="26" t="str">
        <x:v>Projection-only v1.0</x:v>
      </x:c>
    </x:row>
    <x:row r="193">
      <x:c r="A193" s="26" t="n">
        <x:v>189</x:v>
      </x:c>
      <x:c r="B193" s="26" t="n">
        <x:v>5</x:v>
      </x:c>
      <x:c r="C193" s="26" t="n">
        <x:v>189</x:v>
      </x:c>
      <x:c r="D193" s="26" t="str">
        <x:v>Jake Bobo</x:v>
      </x:c>
      <x:c r="E193" s="26" t="str">
        <x:v>SEA</x:v>
      </x:c>
      <x:c r="F193" s="26" t="str">
        <x:v>WR</x:v>
      </x:c>
      <x:c r="G193" s="28" t="n">
        <x:v>3.9</x:v>
      </x:c>
      <x:c r="H193" s="28" t="n">
        <x:v>-106.69999999999999</x:v>
      </x:c>
      <x:c r="I193" s="28" t="n">
        <x:v>0</x:v>
      </x:c>
      <x:c r="J193" s="28" t="n">
        <x:v>-106.69999999999999</x:v>
      </x:c>
      <x:c r="K193" s="27"/>
      <x:c r="L193" s="31" t="str">
        <x:v>ADP NOT LOADED</x:v>
      </x:c>
      <x:c r="M193" s="26" t="str">
        <x:v>Projection-only v1.0</x:v>
      </x:c>
    </x:row>
    <x:row r="194">
      <x:c r="A194" s="26" t="n">
        <x:v>190</x:v>
      </x:c>
      <x:c r="B194" s="26" t="n">
        <x:v>5</x:v>
      </x:c>
      <x:c r="C194" s="26" t="n">
        <x:v>190</x:v>
      </x:c>
      <x:c r="D194" s="26" t="str">
        <x:v>Tylan Wallace</x:v>
      </x:c>
      <x:c r="E194" s="26" t="str">
        <x:v>CLE</x:v>
      </x:c>
      <x:c r="F194" s="26" t="str">
        <x:v>WR</x:v>
      </x:c>
      <x:c r="G194" s="28" t="n">
        <x:v>3.5</x:v>
      </x:c>
      <x:c r="H194" s="28" t="n">
        <x:v>-107.1</x:v>
      </x:c>
      <x:c r="I194" s="28" t="n">
        <x:v>0</x:v>
      </x:c>
      <x:c r="J194" s="28" t="n">
        <x:v>-107.1</x:v>
      </x:c>
      <x:c r="K194" s="27"/>
      <x:c r="L194" s="31" t="str">
        <x:v>ADP NOT LOADED</x:v>
      </x:c>
      <x:c r="M194" s="26" t="str">
        <x:v>Projection-only v1.0</x:v>
      </x:c>
    </x:row>
    <x:row r="195">
      <x:c r="A195" s="26" t="n">
        <x:v>191</x:v>
      </x:c>
      <x:c r="B195" s="26" t="n">
        <x:v>5</x:v>
      </x:c>
      <x:c r="C195" s="26" t="n">
        <x:v>191</x:v>
      </x:c>
      <x:c r="D195" s="26" t="str">
        <x:v>Barion Brown</x:v>
      </x:c>
      <x:c r="E195" s="26" t="str">
        <x:v>NO</x:v>
      </x:c>
      <x:c r="F195" s="26" t="str">
        <x:v>WR</x:v>
      </x:c>
      <x:c r="G195" s="28" t="n">
        <x:v>3.4</x:v>
      </x:c>
      <x:c r="H195" s="28" t="n">
        <x:v>-107.19999999999999</x:v>
      </x:c>
      <x:c r="I195" s="28" t="n">
        <x:v>0</x:v>
      </x:c>
      <x:c r="J195" s="28" t="n">
        <x:v>-107.19999999999999</x:v>
      </x:c>
      <x:c r="K195" s="27"/>
      <x:c r="L195" s="31" t="str">
        <x:v>ADP NOT LOADED</x:v>
      </x:c>
      <x:c r="M195" s="26" t="str">
        <x:v>Projection-only v1.0</x:v>
      </x:c>
    </x:row>
    <x:row r="196">
      <x:c r="A196" s="26" t="n">
        <x:v>192</x:v>
      </x:c>
      <x:c r="B196" s="26" t="n">
        <x:v>5</x:v>
      </x:c>
      <x:c r="C196" s="26" t="n">
        <x:v>192</x:v>
      </x:c>
      <x:c r="D196" s="26" t="str">
        <x:v>Xavier Restrepo</x:v>
      </x:c>
      <x:c r="E196" s="26" t="str">
        <x:v>TEN</x:v>
      </x:c>
      <x:c r="F196" s="26" t="str">
        <x:v>WR</x:v>
      </x:c>
      <x:c r="G196" s="28" t="n">
        <x:v>3.2</x:v>
      </x:c>
      <x:c r="H196" s="28" t="n">
        <x:v>-107.39999999999999</x:v>
      </x:c>
      <x:c r="I196" s="28" t="n">
        <x:v>0</x:v>
      </x:c>
      <x:c r="J196" s="28" t="n">
        <x:v>-107.39999999999999</x:v>
      </x:c>
      <x:c r="K196" s="27"/>
      <x:c r="L196" s="31" t="str">
        <x:v>ADP NOT LOADED</x:v>
      </x:c>
      <x:c r="M196" s="26" t="str">
        <x:v>Projection-only v1.0</x:v>
      </x:c>
    </x:row>
    <x:row r="197">
      <x:c r="A197" s="26" t="n">
        <x:v>193</x:v>
      </x:c>
      <x:c r="B197" s="26" t="n">
        <x:v>5</x:v>
      </x:c>
      <x:c r="C197" s="26" t="n">
        <x:v>193</x:v>
      </x:c>
      <x:c r="D197" s="26" t="str">
        <x:v>Trebor Pena</x:v>
      </x:c>
      <x:c r="E197" s="26" t="str">
        <x:v>JAX</x:v>
      </x:c>
      <x:c r="F197" s="26" t="str">
        <x:v>WR</x:v>
      </x:c>
      <x:c r="G197" s="28" t="n">
        <x:v>3.1</x:v>
      </x:c>
      <x:c r="H197" s="28" t="n">
        <x:v>-107.5</x:v>
      </x:c>
      <x:c r="I197" s="28" t="n">
        <x:v>0</x:v>
      </x:c>
      <x:c r="J197" s="28" t="n">
        <x:v>-107.5</x:v>
      </x:c>
      <x:c r="K197" s="27"/>
      <x:c r="L197" s="31" t="str">
        <x:v>ADP NOT LOADED</x:v>
      </x:c>
      <x:c r="M197" s="26" t="str">
        <x:v>Projection-only v1.0</x:v>
      </x:c>
    </x:row>
    <x:row r="198">
      <x:c r="A198" s="26" t="n">
        <x:v>194</x:v>
      </x:c>
      <x:c r="B198" s="26" t="n">
        <x:v>5</x:v>
      </x:c>
      <x:c r="C198" s="26" t="n">
        <x:v>194</x:v>
      </x:c>
      <x:c r="D198" s="26" t="str">
        <x:v>Arian Smith</x:v>
      </x:c>
      <x:c r="E198" s="26" t="str">
        <x:v>NYJ</x:v>
      </x:c>
      <x:c r="F198" s="26" t="str">
        <x:v>WR</x:v>
      </x:c>
      <x:c r="G198" s="28" t="n">
        <x:v>3.6</x:v>
      </x:c>
      <x:c r="H198" s="28" t="n">
        <x:v>-107</x:v>
      </x:c>
      <x:c r="I198" s="28" t="n">
        <x:v>0</x:v>
      </x:c>
      <x:c r="J198" s="28" t="n">
        <x:v>-107</x:v>
      </x:c>
      <x:c r="K198" s="27"/>
      <x:c r="L198" s="31" t="str">
        <x:v>ADP NOT LOADED</x:v>
      </x:c>
      <x:c r="M198" s="26" t="str">
        <x:v>Projection-only v1.0</x:v>
      </x:c>
    </x:row>
    <x:row r="199">
      <x:c r="A199" s="26" t="n">
        <x:v>195</x:v>
      </x:c>
      <x:c r="B199" s="26" t="n">
        <x:v>5</x:v>
      </x:c>
      <x:c r="C199" s="26" t="n">
        <x:v>195</x:v>
      </x:c>
      <x:c r="D199" s="26" t="str">
        <x:v>Chris Moore</x:v>
      </x:c>
      <x:c r="E199" s="26" t="str">
        <x:v>BAL</x:v>
      </x:c>
      <x:c r="F199" s="26" t="str">
        <x:v>WR</x:v>
      </x:c>
      <x:c r="G199" s="28" t="n">
        <x:v>2.8</x:v>
      </x:c>
      <x:c r="H199" s="28" t="n">
        <x:v>-107.8</x:v>
      </x:c>
      <x:c r="I199" s="28" t="n">
        <x:v>0</x:v>
      </x:c>
      <x:c r="J199" s="28" t="n">
        <x:v>-107.8</x:v>
      </x:c>
      <x:c r="K199" s="27"/>
      <x:c r="L199" s="31" t="str">
        <x:v>ADP NOT LOADED</x:v>
      </x:c>
      <x:c r="M199" s="26" t="str">
        <x:v>Projection-only v1.0</x:v>
      </x:c>
    </x:row>
    <x:row r="200">
      <x:c r="A200" s="26" t="n">
        <x:v>196</x:v>
      </x:c>
      <x:c r="B200" s="26" t="n">
        <x:v>5</x:v>
      </x:c>
      <x:c r="C200" s="26" t="n">
        <x:v>196</x:v>
      </x:c>
      <x:c r="D200" s="26" t="str">
        <x:v>Ricky White III</x:v>
      </x:c>
      <x:c r="E200" s="26" t="str">
        <x:v>SEA</x:v>
      </x:c>
      <x:c r="F200" s="26" t="str">
        <x:v>WR</x:v>
      </x:c>
      <x:c r="G200" s="28" t="n">
        <x:v>2.8</x:v>
      </x:c>
      <x:c r="H200" s="28" t="n">
        <x:v>-107.8</x:v>
      </x:c>
      <x:c r="I200" s="28" t="n">
        <x:v>0</x:v>
      </x:c>
      <x:c r="J200" s="28" t="n">
        <x:v>-107.8</x:v>
      </x:c>
      <x:c r="K200" s="27"/>
      <x:c r="L200" s="31" t="str">
        <x:v>ADP NOT LOADED</x:v>
      </x:c>
      <x:c r="M200" s="26" t="str">
        <x:v>Projection-only v1.0</x:v>
      </x:c>
    </x:row>
    <x:row r="201">
      <x:c r="A201" s="26" t="n">
        <x:v>197</x:v>
      </x:c>
      <x:c r="B201" s="26" t="n">
        <x:v>5</x:v>
      </x:c>
      <x:c r="C201" s="26" t="n">
        <x:v>197</x:v>
      </x:c>
      <x:c r="D201" s="26" t="str">
        <x:v>Trent Sherfield</x:v>
      </x:c>
      <x:c r="E201" s="26" t="str">
        <x:v>BUF</x:v>
      </x:c>
      <x:c r="F201" s="26" t="str">
        <x:v>WR</x:v>
      </x:c>
      <x:c r="G201" s="28" t="n">
        <x:v>2.4</x:v>
      </x:c>
      <x:c r="H201" s="28" t="n">
        <x:v>-108.19999999999999</x:v>
      </x:c>
      <x:c r="I201" s="28" t="n">
        <x:v>0</x:v>
      </x:c>
      <x:c r="J201" s="28" t="n">
        <x:v>-108.19999999999999</x:v>
      </x:c>
      <x:c r="K201" s="27"/>
      <x:c r="L201" s="31" t="str">
        <x:v>ADP NOT LOADED</x:v>
      </x:c>
      <x:c r="M201" s="26" t="str">
        <x:v>Projection-only v1.0</x:v>
      </x:c>
    </x:row>
    <x:row r="202">
      <x:c r="A202" s="26" t="n">
        <x:v>198</x:v>
      </x:c>
      <x:c r="B202" s="26" t="n">
        <x:v>5</x:v>
      </x:c>
      <x:c r="C202" s="26" t="n">
        <x:v>198</x:v>
      </x:c>
      <x:c r="D202" s="26" t="str">
        <x:v>Emmanuel Henderson Jr.</x:v>
      </x:c>
      <x:c r="E202" s="26" t="str">
        <x:v>SEA</x:v>
      </x:c>
      <x:c r="F202" s="26" t="str">
        <x:v>WR</x:v>
      </x:c>
      <x:c r="G202" s="28" t="n">
        <x:v>2.5</x:v>
      </x:c>
      <x:c r="H202" s="28" t="n">
        <x:v>-108.1</x:v>
      </x:c>
      <x:c r="I202" s="28" t="n">
        <x:v>0</x:v>
      </x:c>
      <x:c r="J202" s="28" t="n">
        <x:v>-108.1</x:v>
      </x:c>
      <x:c r="K202" s="27"/>
      <x:c r="L202" s="31" t="str">
        <x:v>ADP NOT LOADED</x:v>
      </x:c>
      <x:c r="M202" s="26" t="str">
        <x:v>Projection-only v1.0</x:v>
      </x:c>
    </x:row>
    <x:row r="203">
      <x:c r="A203" s="26" t="n">
        <x:v>199</x:v>
      </x:c>
      <x:c r="B203" s="26" t="n">
        <x:v>5</x:v>
      </x:c>
      <x:c r="C203" s="26" t="n">
        <x:v>199</x:v>
      </x:c>
      <x:c r="D203" s="26" t="str">
        <x:v>Bryce Oliver</x:v>
      </x:c>
      <x:c r="E203" s="26" t="str">
        <x:v>TEN</x:v>
      </x:c>
      <x:c r="F203" s="26" t="str">
        <x:v>WR</x:v>
      </x:c>
      <x:c r="G203" s="28" t="n">
        <x:v>2.1</x:v>
      </x:c>
      <x:c r="H203" s="28" t="n">
        <x:v>-108.5</x:v>
      </x:c>
      <x:c r="I203" s="28" t="n">
        <x:v>0</x:v>
      </x:c>
      <x:c r="J203" s="28" t="n">
        <x:v>-108.5</x:v>
      </x:c>
      <x:c r="K203" s="27"/>
      <x:c r="L203" s="31" t="str">
        <x:v>ADP NOT LOADED</x:v>
      </x:c>
      <x:c r="M203" s="26" t="str">
        <x:v>Projection-only v1.0</x:v>
      </x:c>
    </x:row>
    <x:row r="204">
      <x:c r="A204" s="26" t="n">
        <x:v>200</x:v>
      </x:c>
      <x:c r="B204" s="26" t="n">
        <x:v>5</x:v>
      </x:c>
      <x:c r="C204" s="26" t="n">
        <x:v>200</x:v>
      </x:c>
      <x:c r="D204" s="26" t="str">
        <x:v>Jordan Watkins</x:v>
      </x:c>
      <x:c r="E204" s="26" t="str">
        <x:v>SF</x:v>
      </x:c>
      <x:c r="F204" s="26" t="str">
        <x:v>WR</x:v>
      </x:c>
      <x:c r="G204" s="28" t="n">
        <x:v>1.8</x:v>
      </x:c>
      <x:c r="H204" s="28" t="n">
        <x:v>-108.8</x:v>
      </x:c>
      <x:c r="I204" s="28" t="n">
        <x:v>0</x:v>
      </x:c>
      <x:c r="J204" s="28" t="n">
        <x:v>-108.8</x:v>
      </x:c>
      <x:c r="K204" s="27"/>
      <x:c r="L204" s="31" t="str">
        <x:v>ADP NOT LOADED</x:v>
      </x:c>
      <x:c r="M204" s="26" t="str">
        <x:v>Projection-only v1.0</x:v>
      </x:c>
    </x:row>
    <x:row r="205">
      <x:c r="A205" s="26" t="n">
        <x:v>201</x:v>
      </x:c>
      <x:c r="B205" s="26" t="n">
        <x:v>5</x:v>
      </x:c>
      <x:c r="C205" s="26" t="n">
        <x:v>201</x:v>
      </x:c>
      <x:c r="D205" s="26" t="str">
        <x:v>Kameron Johnson</x:v>
      </x:c>
      <x:c r="E205" s="26" t="str">
        <x:v>TB</x:v>
      </x:c>
      <x:c r="F205" s="26" t="str">
        <x:v>WR</x:v>
      </x:c>
      <x:c r="G205" s="28" t="n">
        <x:v>1.8</x:v>
      </x:c>
      <x:c r="H205" s="28" t="n">
        <x:v>-108.8</x:v>
      </x:c>
      <x:c r="I205" s="28" t="n">
        <x:v>0</x:v>
      </x:c>
      <x:c r="J205" s="28" t="n">
        <x:v>-108.8</x:v>
      </x:c>
      <x:c r="K205" s="27"/>
      <x:c r="L205" s="31" t="str">
        <x:v>ADP NOT LOADED</x:v>
      </x:c>
      <x:c r="M205" s="26" t="str">
        <x:v>Projection-only v1.0</x:v>
      </x:c>
    </x:row>
    <x:row r="206">
      <x:c r="A206" s="26" t="n">
        <x:v>202</x:v>
      </x:c>
      <x:c r="B206" s="26" t="n">
        <x:v>5</x:v>
      </x:c>
      <x:c r="C206" s="26" t="n">
        <x:v>202</x:v>
      </x:c>
      <x:c r="D206" s="26" t="str">
        <x:v>JuJu Smith-Schuster</x:v>
      </x:c>
      <x:c r="E206" s="26" t="str">
        <x:v>NYG</x:v>
      </x:c>
      <x:c r="F206" s="26" t="str">
        <x:v>WR</x:v>
      </x:c>
      <x:c r="G206" s="28" t="n">
        <x:v>1.3</x:v>
      </x:c>
      <x:c r="H206" s="28" t="n">
        <x:v>-109.3</x:v>
      </x:c>
      <x:c r="I206" s="28" t="n">
        <x:v>0</x:v>
      </x:c>
      <x:c r="J206" s="28" t="n">
        <x:v>-109.3</x:v>
      </x:c>
      <x:c r="K206" s="27"/>
      <x:c r="L206" s="31" t="str">
        <x:v>ADP NOT LOADED</x:v>
      </x:c>
      <x:c r="M206" s="26" t="str">
        <x:v>Projection-only v1.0</x:v>
      </x:c>
    </x:row>
    <x:row r="207">
      <x:c r="A207" s="26" t="n">
        <x:v>203</x:v>
      </x:c>
      <x:c r="B207" s="26" t="n">
        <x:v>5</x:v>
      </x:c>
      <x:c r="C207" s="26" t="n">
        <x:v>203</x:v>
      </x:c>
      <x:c r="D207" s="26" t="str">
        <x:v>A.T. Perry</x:v>
      </x:c>
      <x:c r="E207" s="26" t="str">
        <x:v>PIT</x:v>
      </x:c>
      <x:c r="F207" s="26" t="str">
        <x:v>WR</x:v>
      </x:c>
      <x:c r="G207" s="28" t="n">
        <x:v>0</x:v>
      </x:c>
      <x:c r="H207" s="28" t="n">
        <x:v>-110.6</x:v>
      </x:c>
      <x:c r="I207" s="28" t="n">
        <x:v>0</x:v>
      </x:c>
      <x:c r="J207" s="28" t="n">
        <x:v>-110.6</x:v>
      </x:c>
      <x:c r="K207" s="27"/>
      <x:c r="L207" s="31" t="str">
        <x:v>ADP NOT LOADED</x:v>
      </x:c>
      <x:c r="M207" s="26" t="str">
        <x:v>Projection-only v1.0</x:v>
      </x:c>
    </x:row>
    <x:row r="208">
      <x:c r="A208" s="26" t="n">
        <x:v>204</x:v>
      </x:c>
      <x:c r="B208" s="26" t="n">
        <x:v>5</x:v>
      </x:c>
      <x:c r="C208" s="26" t="n">
        <x:v>204</x:v>
      </x:c>
      <x:c r="D208" s="26" t="str">
        <x:v>Anthony Smith</x:v>
      </x:c>
      <x:c r="E208" s="26" t="str">
        <x:v>DAL</x:v>
      </x:c>
      <x:c r="F208" s="26" t="str">
        <x:v>WR</x:v>
      </x:c>
      <x:c r="G208" s="28" t="n">
        <x:v>0</x:v>
      </x:c>
      <x:c r="H208" s="28" t="n">
        <x:v>-110.6</x:v>
      </x:c>
      <x:c r="I208" s="28" t="n">
        <x:v>0</x:v>
      </x:c>
      <x:c r="J208" s="28" t="n">
        <x:v>-110.6</x:v>
      </x:c>
      <x:c r="K208" s="27"/>
      <x:c r="L208" s="31" t="str">
        <x:v>ADP NOT LOADED</x:v>
      </x:c>
      <x:c r="M208" s="26" t="str">
        <x:v>Projection-only v1.0</x:v>
      </x:c>
    </x:row>
    <x:row r="209">
      <x:c r="A209" s="26" t="n">
        <x:v>205</x:v>
      </x:c>
      <x:c r="B209" s="26" t="n">
        <x:v>5</x:v>
      </x:c>
      <x:c r="C209" s="26" t="n">
        <x:v>205</x:v>
      </x:c>
      <x:c r="D209" s="26" t="str">
        <x:v>Braxton Berrios</x:v>
      </x:c>
      <x:c r="E209" s="26" t="str">
        <x:v>NYG</x:v>
      </x:c>
      <x:c r="F209" s="26" t="str">
        <x:v>WR</x:v>
      </x:c>
      <x:c r="G209" s="28" t="n">
        <x:v>0</x:v>
      </x:c>
      <x:c r="H209" s="28" t="n">
        <x:v>-110.6</x:v>
      </x:c>
      <x:c r="I209" s="28" t="n">
        <x:v>0</x:v>
      </x:c>
      <x:c r="J209" s="28" t="n">
        <x:v>-110.6</x:v>
      </x:c>
      <x:c r="K209" s="27"/>
      <x:c r="L209" s="31" t="str">
        <x:v>ADP NOT LOADED</x:v>
      </x:c>
      <x:c r="M209" s="26" t="str">
        <x:v>Projection-only v1.0</x:v>
      </x:c>
    </x:row>
    <x:row r="210">
      <x:c r="A210" s="26" t="n">
        <x:v>206</x:v>
      </x:c>
      <x:c r="B210" s="26" t="n">
        <x:v>5</x:v>
      </x:c>
      <x:c r="C210" s="26" t="n">
        <x:v>206</x:v>
      </x:c>
      <x:c r="D210" s="26" t="str">
        <x:v>Britain Covey</x:v>
      </x:c>
      <x:c r="E210" s="26" t="str">
        <x:v>PHI</x:v>
      </x:c>
      <x:c r="F210" s="26" t="str">
        <x:v>WR</x:v>
      </x:c>
      <x:c r="G210" s="28" t="n">
        <x:v>0</x:v>
      </x:c>
      <x:c r="H210" s="28" t="n">
        <x:v>-110.6</x:v>
      </x:c>
      <x:c r="I210" s="28" t="n">
        <x:v>0</x:v>
      </x:c>
      <x:c r="J210" s="28" t="n">
        <x:v>-110.6</x:v>
      </x:c>
      <x:c r="K210" s="27"/>
      <x:c r="L210" s="31" t="str">
        <x:v>ADP NOT LOADED</x:v>
      </x:c>
      <x:c r="M210" s="26" t="str">
        <x:v>Projection-only v1.0</x:v>
      </x:c>
    </x:row>
    <x:row r="211">
      <x:c r="A211" s="26" t="n">
        <x:v>207</x:v>
      </x:c>
      <x:c r="B211" s="26" t="n">
        <x:v>5</x:v>
      </x:c>
      <x:c r="C211" s="26" t="n">
        <x:v>207</x:v>
      </x:c>
      <x:c r="D211" s="26" t="str">
        <x:v>Casey Washington</x:v>
      </x:c>
      <x:c r="E211" s="26" t="str">
        <x:v>CAR</x:v>
      </x:c>
      <x:c r="F211" s="26" t="str">
        <x:v>WR</x:v>
      </x:c>
      <x:c r="G211" s="28" t="n">
        <x:v>0</x:v>
      </x:c>
      <x:c r="H211" s="28" t="n">
        <x:v>-110.6</x:v>
      </x:c>
      <x:c r="I211" s="28" t="n">
        <x:v>0</x:v>
      </x:c>
      <x:c r="J211" s="28" t="n">
        <x:v>-110.6</x:v>
      </x:c>
      <x:c r="K211" s="27"/>
      <x:c r="L211" s="31" t="str">
        <x:v>ADP NOT LOADED</x:v>
      </x:c>
      <x:c r="M211" s="26" t="str">
        <x:v>Projection-only v1.0</x:v>
      </x:c>
    </x:row>
    <x:row r="212">
      <x:c r="A212" s="26" t="n">
        <x:v>208</x:v>
      </x:c>
      <x:c r="B212" s="26" t="n">
        <x:v>5</x:v>
      </x:c>
      <x:c r="C212" s="26" t="n">
        <x:v>208</x:v>
      </x:c>
      <x:c r="D212" s="26" t="str">
        <x:v>Cedrick Wilson Jr.</x:v>
      </x:c>
      <x:c r="E212" s="26" t="str">
        <x:v>DET</x:v>
      </x:c>
      <x:c r="F212" s="26" t="str">
        <x:v>WR</x:v>
      </x:c>
      <x:c r="G212" s="28" t="n">
        <x:v>0</x:v>
      </x:c>
      <x:c r="H212" s="28" t="n">
        <x:v>-110.6</x:v>
      </x:c>
      <x:c r="I212" s="28" t="n">
        <x:v>0</x:v>
      </x:c>
      <x:c r="J212" s="28" t="n">
        <x:v>-110.6</x:v>
      </x:c>
      <x:c r="K212" s="27"/>
      <x:c r="L212" s="31" t="str">
        <x:v>ADP NOT LOADED</x:v>
      </x:c>
      <x:c r="M212" s="26" t="str">
        <x:v>Projection-only v1.0</x:v>
      </x:c>
    </x:row>
    <x:row r="213">
      <x:c r="A213" s="26" t="n">
        <x:v>209</x:v>
      </x:c>
      <x:c r="B213" s="26" t="n">
        <x:v>5</x:v>
      </x:c>
      <x:c r="C213" s="26" t="n">
        <x:v>209</x:v>
      </x:c>
      <x:c r="D213" s="26" t="str">
        <x:v>Charlie Jones</x:v>
      </x:c>
      <x:c r="E213" s="26" t="str">
        <x:v>CIN</x:v>
      </x:c>
      <x:c r="F213" s="26" t="str">
        <x:v>WR</x:v>
      </x:c>
      <x:c r="G213" s="28" t="n">
        <x:v>0</x:v>
      </x:c>
      <x:c r="H213" s="28" t="n">
        <x:v>-110.6</x:v>
      </x:c>
      <x:c r="I213" s="28" t="n">
        <x:v>0</x:v>
      </x:c>
      <x:c r="J213" s="28" t="n">
        <x:v>-110.6</x:v>
      </x:c>
      <x:c r="K213" s="27"/>
      <x:c r="L213" s="31" t="str">
        <x:v>ADP NOT LOADED</x:v>
      </x:c>
      <x:c r="M213" s="26" t="str">
        <x:v>Projection-only v1.0</x:v>
      </x:c>
    </x:row>
    <x:row r="214">
      <x:c r="A214" s="26" t="n">
        <x:v>210</x:v>
      </x:c>
      <x:c r="B214" s="26" t="n">
        <x:v>5</x:v>
      </x:c>
      <x:c r="C214" s="26" t="n">
        <x:v>210</x:v>
      </x:c>
      <x:c r="D214" s="26" t="str">
        <x:v>Chris Brazzell II</x:v>
      </x:c>
      <x:c r="E214" s="26" t="str">
        <x:v>CAR</x:v>
      </x:c>
      <x:c r="F214" s="26" t="str">
        <x:v>WR</x:v>
      </x:c>
      <x:c r="G214" s="28" t="n">
        <x:v>0</x:v>
      </x:c>
      <x:c r="H214" s="28" t="n">
        <x:v>-110.6</x:v>
      </x:c>
      <x:c r="I214" s="28" t="n">
        <x:v>0</x:v>
      </x:c>
      <x:c r="J214" s="28" t="n">
        <x:v>-110.6</x:v>
      </x:c>
      <x:c r="K214" s="27"/>
      <x:c r="L214" s="31" t="str">
        <x:v>ADP NOT LOADED</x:v>
      </x:c>
      <x:c r="M214" s="26" t="str">
        <x:v>Projection-only v1.0</x:v>
      </x:c>
    </x:row>
    <x:row r="215">
      <x:c r="A215" s="26" t="n">
        <x:v>211</x:v>
      </x:c>
      <x:c r="B215" s="26" t="n">
        <x:v>5</x:v>
      </x:c>
      <x:c r="C215" s="26" t="n">
        <x:v>211</x:v>
      </x:c>
      <x:c r="D215" s="26" t="str">
        <x:v>DJ Turner</x:v>
      </x:c>
      <x:c r="E215" s="26" t="str">
        <x:v>HOU</x:v>
      </x:c>
      <x:c r="F215" s="26" t="str">
        <x:v>WR</x:v>
      </x:c>
      <x:c r="G215" s="28" t="n">
        <x:v>0</x:v>
      </x:c>
      <x:c r="H215" s="28" t="n">
        <x:v>-110.6</x:v>
      </x:c>
      <x:c r="I215" s="28" t="n">
        <x:v>0</x:v>
      </x:c>
      <x:c r="J215" s="28" t="n">
        <x:v>-110.6</x:v>
      </x:c>
      <x:c r="K215" s="27"/>
      <x:c r="L215" s="31" t="str">
        <x:v>ADP NOT LOADED</x:v>
      </x:c>
      <x:c r="M215" s="26" t="str">
        <x:v>Projection-only v1.0</x:v>
      </x:c>
    </x:row>
    <x:row r="216">
      <x:c r="A216" s="26" t="n">
        <x:v>212</x:v>
      </x:c>
      <x:c r="B216" s="26" t="n">
        <x:v>5</x:v>
      </x:c>
      <x:c r="C216" s="26" t="n">
        <x:v>212</x:v>
      </x:c>
      <x:c r="D216" s="26" t="str">
        <x:v>Danny Gray</x:v>
      </x:c>
      <x:c r="E216" s="26" t="str">
        <x:v>PHI</x:v>
      </x:c>
      <x:c r="F216" s="26" t="str">
        <x:v>WR</x:v>
      </x:c>
      <x:c r="G216" s="28" t="n">
        <x:v>0</x:v>
      </x:c>
      <x:c r="H216" s="28" t="n">
        <x:v>-110.6</x:v>
      </x:c>
      <x:c r="I216" s="28" t="n">
        <x:v>0</x:v>
      </x:c>
      <x:c r="J216" s="28" t="n">
        <x:v>-110.6</x:v>
      </x:c>
      <x:c r="K216" s="27"/>
      <x:c r="L216" s="31" t="str">
        <x:v>ADP NOT LOADED</x:v>
      </x:c>
      <x:c r="M216" s="26" t="str">
        <x:v>Projection-only v1.0</x:v>
      </x:c>
    </x:row>
    <x:row r="217">
      <x:c r="A217" s="26" t="n">
        <x:v>213</x:v>
      </x:c>
      <x:c r="B217" s="26" t="n">
        <x:v>5</x:v>
      </x:c>
      <x:c r="C217" s="26" t="n">
        <x:v>213</x:v>
      </x:c>
      <x:c r="D217" s="26" t="str">
        <x:v>Dante Pettis</x:v>
      </x:c>
      <x:c r="E217" s="26" t="str">
        <x:v>BUF</x:v>
      </x:c>
      <x:c r="F217" s="26" t="str">
        <x:v>WR</x:v>
      </x:c>
      <x:c r="G217" s="28" t="n">
        <x:v>0</x:v>
      </x:c>
      <x:c r="H217" s="28" t="n">
        <x:v>-110.6</x:v>
      </x:c>
      <x:c r="I217" s="28" t="n">
        <x:v>0</x:v>
      </x:c>
      <x:c r="J217" s="28" t="n">
        <x:v>-110.6</x:v>
      </x:c>
      <x:c r="K217" s="27"/>
      <x:c r="L217" s="31" t="str">
        <x:v>ADP NOT LOADED</x:v>
      </x:c>
      <x:c r="M217" s="26" t="str">
        <x:v>Projection-only v1.0</x:v>
      </x:c>
    </x:row>
    <x:row r="218">
      <x:c r="A218" s="26" t="n">
        <x:v>214</x:v>
      </x:c>
      <x:c r="B218" s="26" t="n">
        <x:v>5</x:v>
      </x:c>
      <x:c r="C218" s="26" t="n">
        <x:v>214</x:v>
      </x:c>
      <x:c r="D218" s="26" t="str">
        <x:v>Dareke Young</x:v>
      </x:c>
      <x:c r="E218" s="26" t="str">
        <x:v>LV</x:v>
      </x:c>
      <x:c r="F218" s="26" t="str">
        <x:v>WR</x:v>
      </x:c>
      <x:c r="G218" s="28" t="n">
        <x:v>0</x:v>
      </x:c>
      <x:c r="H218" s="28" t="n">
        <x:v>-110.6</x:v>
      </x:c>
      <x:c r="I218" s="28" t="n">
        <x:v>0</x:v>
      </x:c>
      <x:c r="J218" s="28" t="n">
        <x:v>-110.6</x:v>
      </x:c>
      <x:c r="K218" s="27"/>
      <x:c r="L218" s="31" t="str">
        <x:v>ADP NOT LOADED</x:v>
      </x:c>
      <x:c r="M218" s="26" t="str">
        <x:v>Projection-only v1.0</x:v>
      </x:c>
    </x:row>
    <x:row r="219">
      <x:c r="A219" s="26" t="n">
        <x:v>215</x:v>
      </x:c>
      <x:c r="B219" s="26" t="n">
        <x:v>5</x:v>
      </x:c>
      <x:c r="C219" s="26" t="n">
        <x:v>215</x:v>
      </x:c>
      <x:c r="D219" s="26" t="str">
        <x:v>Deven Thompkins</x:v>
      </x:c>
      <x:c r="E219" s="26" t="str">
        <x:v>LV</x:v>
      </x:c>
      <x:c r="F219" s="26" t="str">
        <x:v>WR</x:v>
      </x:c>
      <x:c r="G219" s="28" t="n">
        <x:v>0</x:v>
      </x:c>
      <x:c r="H219" s="28" t="n">
        <x:v>-110.6</x:v>
      </x:c>
      <x:c r="I219" s="28" t="n">
        <x:v>0</x:v>
      </x:c>
      <x:c r="J219" s="28" t="n">
        <x:v>-110.6</x:v>
      </x:c>
      <x:c r="K219" s="27"/>
      <x:c r="L219" s="31" t="str">
        <x:v>ADP NOT LOADED</x:v>
      </x:c>
      <x:c r="M219" s="26" t="str">
        <x:v>Projection-only v1.0</x:v>
      </x:c>
    </x:row>
    <x:row r="220">
      <x:c r="A220" s="26" t="n">
        <x:v>216</x:v>
      </x:c>
      <x:c r="B220" s="26" t="n">
        <x:v>5</x:v>
      </x:c>
      <x:c r="C220" s="26" t="n">
        <x:v>216</x:v>
      </x:c>
      <x:c r="D220" s="26" t="str">
        <x:v>Devin Duvernay</x:v>
      </x:c>
      <x:c r="E220" s="26" t="str">
        <x:v>ARI</x:v>
      </x:c>
      <x:c r="F220" s="26" t="str">
        <x:v>WR</x:v>
      </x:c>
      <x:c r="G220" s="28" t="n">
        <x:v>0</x:v>
      </x:c>
      <x:c r="H220" s="28" t="n">
        <x:v>-110.6</x:v>
      </x:c>
      <x:c r="I220" s="28" t="n">
        <x:v>0</x:v>
      </x:c>
      <x:c r="J220" s="28" t="n">
        <x:v>-110.6</x:v>
      </x:c>
      <x:c r="K220" s="27"/>
      <x:c r="L220" s="31" t="str">
        <x:v>ADP NOT LOADED</x:v>
      </x:c>
      <x:c r="M220" s="26" t="str">
        <x:v>Projection-only v1.0</x:v>
      </x:c>
    </x:row>
    <x:row r="221">
      <x:c r="A221" s="26" t="n">
        <x:v>217</x:v>
      </x:c>
      <x:c r="B221" s="26" t="n">
        <x:v>5</x:v>
      </x:c>
      <x:c r="C221" s="26" t="n">
        <x:v>217</x:v>
      </x:c>
      <x:c r="D221" s="26" t="str">
        <x:v>Dominic Lovett</x:v>
      </x:c>
      <x:c r="E221" s="26" t="str">
        <x:v>DET</x:v>
      </x:c>
      <x:c r="F221" s="26" t="str">
        <x:v>WR</x:v>
      </x:c>
      <x:c r="G221" s="28" t="n">
        <x:v>0</x:v>
      </x:c>
      <x:c r="H221" s="28" t="n">
        <x:v>-110.6</x:v>
      </x:c>
      <x:c r="I221" s="28" t="n">
        <x:v>0</x:v>
      </x:c>
      <x:c r="J221" s="28" t="n">
        <x:v>-110.6</x:v>
      </x:c>
      <x:c r="K221" s="27"/>
      <x:c r="L221" s="31" t="str">
        <x:v>ADP NOT LOADED</x:v>
      </x:c>
      <x:c r="M221" s="26" t="str">
        <x:v>Projection-only v1.0</x:v>
      </x:c>
    </x:row>
    <x:row r="222">
      <x:c r="A222" s="26" t="n">
        <x:v>218</x:v>
      </x:c>
      <x:c r="B222" s="26" t="n">
        <x:v>5</x:v>
      </x:c>
      <x:c r="C222" s="26" t="n">
        <x:v>218</x:v>
      </x:c>
      <x:c r="D222" s="26" t="str">
        <x:v>Efton Chism III</x:v>
      </x:c>
      <x:c r="E222" s="26" t="str">
        <x:v>NE</x:v>
      </x:c>
      <x:c r="F222" s="26" t="str">
        <x:v>WR</x:v>
      </x:c>
      <x:c r="G222" s="28" t="n">
        <x:v>0</x:v>
      </x:c>
      <x:c r="H222" s="28" t="n">
        <x:v>-110.6</x:v>
      </x:c>
      <x:c r="I222" s="28" t="n">
        <x:v>0</x:v>
      </x:c>
      <x:c r="J222" s="28" t="n">
        <x:v>-110.6</x:v>
      </x:c>
      <x:c r="K222" s="27"/>
      <x:c r="L222" s="31" t="str">
        <x:v>ADP NOT LOADED</x:v>
      </x:c>
      <x:c r="M222" s="26" t="str">
        <x:v>Projection-only v1.0</x:v>
      </x:c>
    </x:row>
    <x:row r="223">
      <x:c r="A223" s="26" t="n">
        <x:v>219</x:v>
      </x:c>
      <x:c r="B223" s="26" t="n">
        <x:v>5</x:v>
      </x:c>
      <x:c r="C223" s="26" t="n">
        <x:v>219</x:v>
      </x:c>
      <x:c r="D223" s="26" t="str">
        <x:v>Gage Larvadain</x:v>
      </x:c>
      <x:c r="E223" s="26" t="str">
        <x:v>CLE</x:v>
      </x:c>
      <x:c r="F223" s="26" t="str">
        <x:v>WR</x:v>
      </x:c>
      <x:c r="G223" s="28" t="n">
        <x:v>0</x:v>
      </x:c>
      <x:c r="H223" s="28" t="n">
        <x:v>-110.6</x:v>
      </x:c>
      <x:c r="I223" s="28" t="n">
        <x:v>0</x:v>
      </x:c>
      <x:c r="J223" s="28" t="n">
        <x:v>-110.6</x:v>
      </x:c>
      <x:c r="K223" s="27"/>
      <x:c r="L223" s="31" t="str">
        <x:v>ADP NOT LOADED</x:v>
      </x:c>
      <x:c r="M223" s="26" t="str">
        <x:v>Projection-only v1.0</x:v>
      </x:c>
    </x:row>
    <x:row r="224">
      <x:c r="A224" s="26" t="n">
        <x:v>220</x:v>
      </x:c>
      <x:c r="B224" s="26" t="n">
        <x:v>5</x:v>
      </x:c>
      <x:c r="C224" s="26" t="n">
        <x:v>220</x:v>
      </x:c>
      <x:c r="D224" s="26" t="str">
        <x:v>Gunner Olszewski</x:v>
      </x:c>
      <x:c r="E224" s="26" t="str">
        <x:v>NYG</x:v>
      </x:c>
      <x:c r="F224" s="26" t="str">
        <x:v>WR</x:v>
      </x:c>
      <x:c r="G224" s="28" t="n">
        <x:v>0</x:v>
      </x:c>
      <x:c r="H224" s="28" t="n">
        <x:v>-110.6</x:v>
      </x:c>
      <x:c r="I224" s="28" t="n">
        <x:v>0</x:v>
      </x:c>
      <x:c r="J224" s="28" t="n">
        <x:v>-110.6</x:v>
      </x:c>
      <x:c r="K224" s="27"/>
      <x:c r="L224" s="31" t="str">
        <x:v>ADP NOT LOADED</x:v>
      </x:c>
      <x:c r="M224" s="26" t="str">
        <x:v>Projection-only v1.0</x:v>
      </x:c>
    </x:row>
    <x:row r="225">
      <x:c r="A225" s="26" t="n">
        <x:v>221</x:v>
      </x:c>
      <x:c r="B225" s="26" t="n">
        <x:v>5</x:v>
      </x:c>
      <x:c r="C225" s="26" t="n">
        <x:v>221</x:v>
      </x:c>
      <x:c r="D225" s="26" t="str">
        <x:v>Ihmir Smith-Marsette</x:v>
      </x:c>
      <x:c r="E225" s="26" t="str">
        <x:v>ARI</x:v>
      </x:c>
      <x:c r="F225" s="26" t="str">
        <x:v>WR</x:v>
      </x:c>
      <x:c r="G225" s="28" t="n">
        <x:v>0</x:v>
      </x:c>
      <x:c r="H225" s="28" t="n">
        <x:v>-110.6</x:v>
      </x:c>
      <x:c r="I225" s="28" t="n">
        <x:v>0</x:v>
      </x:c>
      <x:c r="J225" s="28" t="n">
        <x:v>-110.6</x:v>
      </x:c>
      <x:c r="K225" s="27"/>
      <x:c r="L225" s="31" t="str">
        <x:v>ADP NOT LOADED</x:v>
      </x:c>
      <x:c r="M225" s="26" t="str">
        <x:v>Projection-only v1.0</x:v>
      </x:c>
    </x:row>
    <x:row r="226">
      <x:c r="A226" s="26" t="n">
        <x:v>222</x:v>
      </x:c>
      <x:c r="B226" s="26" t="n">
        <x:v>5</x:v>
      </x:c>
      <x:c r="C226" s="26" t="n">
        <x:v>222</x:v>
      </x:c>
      <x:c r="D226" s="26" t="str">
        <x:v>Irv Charles</x:v>
      </x:c>
      <x:c r="E226" s="26" t="str">
        <x:v>SEA</x:v>
      </x:c>
      <x:c r="F226" s="26" t="str">
        <x:v>WR</x:v>
      </x:c>
      <x:c r="G226" s="28" t="n">
        <x:v>0</x:v>
      </x:c>
      <x:c r="H226" s="28" t="n">
        <x:v>-110.6</x:v>
      </x:c>
      <x:c r="I226" s="28" t="n">
        <x:v>0</x:v>
      </x:c>
      <x:c r="J226" s="28" t="n">
        <x:v>-110.6</x:v>
      </x:c>
      <x:c r="K226" s="27"/>
      <x:c r="L226" s="31" t="str">
        <x:v>ADP NOT LOADED</x:v>
      </x:c>
      <x:c r="M226" s="26" t="str">
        <x:v>Projection-only v1.0</x:v>
      </x:c>
    </x:row>
    <x:row r="227">
      <x:c r="A227" s="26" t="n">
        <x:v>223</x:v>
      </x:c>
      <x:c r="B227" s="26" t="n">
        <x:v>5</x:v>
      </x:c>
      <x:c r="C227" s="26" t="n">
        <x:v>223</x:v>
      </x:c>
      <x:c r="D227" s="26" t="str">
        <x:v>Isaiah Neyor</x:v>
      </x:c>
      <x:c r="E227" s="26" t="str">
        <x:v>GB</x:v>
      </x:c>
      <x:c r="F227" s="26" t="str">
        <x:v>WR</x:v>
      </x:c>
      <x:c r="G227" s="28" t="n">
        <x:v>0</x:v>
      </x:c>
      <x:c r="H227" s="28" t="n">
        <x:v>-110.6</x:v>
      </x:c>
      <x:c r="I227" s="28" t="n">
        <x:v>0</x:v>
      </x:c>
      <x:c r="J227" s="28" t="n">
        <x:v>-110.6</x:v>
      </x:c>
      <x:c r="K227" s="27"/>
      <x:c r="L227" s="31" t="str">
        <x:v>ADP NOT LOADED</x:v>
      </x:c>
      <x:c r="M227" s="26" t="str">
        <x:v>Projection-only v1.0</x:v>
      </x:c>
    </x:row>
    <x:row r="228">
      <x:c r="A228" s="26" t="n">
        <x:v>224</x:v>
      </x:c>
      <x:c r="B228" s="26" t="n">
        <x:v>5</x:v>
      </x:c>
      <x:c r="C228" s="26" t="n">
        <x:v>224</x:v>
      </x:c>
      <x:c r="D228" s="26" t="str">
        <x:v>Jacob Cowing</x:v>
      </x:c>
      <x:c r="E228" s="26" t="str">
        <x:v>SF</x:v>
      </x:c>
      <x:c r="F228" s="26" t="str">
        <x:v>WR</x:v>
      </x:c>
      <x:c r="G228" s="28" t="n">
        <x:v>0</x:v>
      </x:c>
      <x:c r="H228" s="28" t="n">
        <x:v>-110.6</x:v>
      </x:c>
      <x:c r="I228" s="28" t="n">
        <x:v>0</x:v>
      </x:c>
      <x:c r="J228" s="28" t="n">
        <x:v>-110.6</x:v>
      </x:c>
      <x:c r="K228" s="27"/>
      <x:c r="L228" s="31" t="str">
        <x:v>ADP NOT LOADED</x:v>
      </x:c>
      <x:c r="M228" s="26" t="str">
        <x:v>Projection-only v1.0</x:v>
      </x:c>
    </x:row>
    <x:row r="229">
      <x:c r="A229" s="26" t="n">
        <x:v>225</x:v>
      </x:c>
      <x:c r="B229" s="26" t="n">
        <x:v>5</x:v>
      </x:c>
      <x:c r="C229" s="26" t="n">
        <x:v>225</x:v>
      </x:c>
      <x:c r="D229" s="26" t="str">
        <x:v>Jalen Brooks</x:v>
      </x:c>
      <x:c r="E229" s="26" t="str">
        <x:v>ARI</x:v>
      </x:c>
      <x:c r="F229" s="26" t="str">
        <x:v>WR</x:v>
      </x:c>
      <x:c r="G229" s="28" t="n">
        <x:v>0</x:v>
      </x:c>
      <x:c r="H229" s="28" t="n">
        <x:v>-110.6</x:v>
      </x:c>
      <x:c r="I229" s="28" t="n">
        <x:v>0</x:v>
      </x:c>
      <x:c r="J229" s="28" t="n">
        <x:v>-110.6</x:v>
      </x:c>
      <x:c r="K229" s="27"/>
      <x:c r="L229" s="31" t="str">
        <x:v>ADP NOT LOADED</x:v>
      </x:c>
      <x:c r="M229" s="26" t="str">
        <x:v>Projection-only v1.0</x:v>
      </x:c>
    </x:row>
    <x:row r="230">
      <x:c r="A230" s="26" t="n">
        <x:v>226</x:v>
      </x:c>
      <x:c r="B230" s="26" t="n">
        <x:v>5</x:v>
      </x:c>
      <x:c r="C230" s="26" t="n">
        <x:v>226</x:v>
      </x:c>
      <x:c r="D230" s="26" t="str">
        <x:v>Jalin Hyatt</x:v>
      </x:c>
      <x:c r="E230" s="26" t="str">
        <x:v>NYG</x:v>
      </x:c>
      <x:c r="F230" s="26" t="str">
        <x:v>WR</x:v>
      </x:c>
      <x:c r="G230" s="28" t="n">
        <x:v>0</x:v>
      </x:c>
      <x:c r="H230" s="28" t="n">
        <x:v>-110.6</x:v>
      </x:c>
      <x:c r="I230" s="28" t="n">
        <x:v>0</x:v>
      </x:c>
      <x:c r="J230" s="28" t="n">
        <x:v>-110.6</x:v>
      </x:c>
      <x:c r="K230" s="27"/>
      <x:c r="L230" s="31" t="str">
        <x:v>ADP NOT LOADED</x:v>
      </x:c>
      <x:c r="M230" s="26" t="str">
        <x:v>Projection-only v1.0</x:v>
      </x:c>
    </x:row>
    <x:row r="231">
      <x:c r="A231" s="26" t="n">
        <x:v>227</x:v>
      </x:c>
      <x:c r="B231" s="26" t="n">
        <x:v>5</x:v>
      </x:c>
      <x:c r="C231" s="26" t="n">
        <x:v>227</x:v>
      </x:c>
      <x:c r="D231" s="26" t="str">
        <x:v>Jamari Thrash</x:v>
      </x:c>
      <x:c r="E231" s="26" t="str">
        <x:v>CLE</x:v>
      </x:c>
      <x:c r="F231" s="26" t="str">
        <x:v>WR</x:v>
      </x:c>
      <x:c r="G231" s="28" t="n">
        <x:v>0</x:v>
      </x:c>
      <x:c r="H231" s="28" t="n">
        <x:v>-110.6</x:v>
      </x:c>
      <x:c r="I231" s="28" t="n">
        <x:v>0</x:v>
      </x:c>
      <x:c r="J231" s="28" t="n">
        <x:v>-110.6</x:v>
      </x:c>
      <x:c r="K231" s="27"/>
      <x:c r="L231" s="31" t="str">
        <x:v>ADP NOT LOADED</x:v>
      </x:c>
      <x:c r="M231" s="26" t="str">
        <x:v>Projection-only v1.0</x:v>
      </x:c>
    </x:row>
    <x:row r="232">
      <x:c r="A232" s="26" t="n">
        <x:v>228</x:v>
      </x:c>
      <x:c r="B232" s="26" t="n">
        <x:v>5</x:v>
      </x:c>
      <x:c r="C232" s="26" t="n">
        <x:v>228</x:v>
      </x:c>
      <x:c r="D232" s="26" t="str">
        <x:v>Jason Brownlee</x:v>
      </x:c>
      <x:c r="E232" s="26" t="str">
        <x:v>KC</x:v>
      </x:c>
      <x:c r="F232" s="26" t="str">
        <x:v>WR</x:v>
      </x:c>
      <x:c r="G232" s="28" t="n">
        <x:v>0</x:v>
      </x:c>
      <x:c r="H232" s="28" t="n">
        <x:v>-110.6</x:v>
      </x:c>
      <x:c r="I232" s="28" t="n">
        <x:v>0</x:v>
      </x:c>
      <x:c r="J232" s="28" t="n">
        <x:v>-110.6</x:v>
      </x:c>
      <x:c r="K232" s="27"/>
      <x:c r="L232" s="31" t="str">
        <x:v>ADP NOT LOADED</x:v>
      </x:c>
      <x:c r="M232" s="26" t="str">
        <x:v>Projection-only v1.0</x:v>
      </x:c>
    </x:row>
    <x:row r="233">
      <x:c r="A233" s="26" t="n">
        <x:v>229</x:v>
      </x:c>
      <x:c r="B233" s="26" t="n">
        <x:v>5</x:v>
      </x:c>
      <x:c r="C233" s="26" t="n">
        <x:v>229</x:v>
      </x:c>
      <x:c r="D233" s="26" t="str">
        <x:v>Jeshaun Jones</x:v>
      </x:c>
      <x:c r="E233" s="26" t="str">
        <x:v>MIN</x:v>
      </x:c>
      <x:c r="F233" s="26" t="str">
        <x:v>WR</x:v>
      </x:c>
      <x:c r="G233" s="28" t="n">
        <x:v>0</x:v>
      </x:c>
      <x:c r="H233" s="28" t="n">
        <x:v>-110.6</x:v>
      </x:c>
      <x:c r="I233" s="28" t="n">
        <x:v>0</x:v>
      </x:c>
      <x:c r="J233" s="28" t="n">
        <x:v>-110.6</x:v>
      </x:c>
      <x:c r="K233" s="27"/>
      <x:c r="L233" s="31" t="str">
        <x:v>ADP NOT LOADED</x:v>
      </x:c>
      <x:c r="M233" s="26" t="str">
        <x:v>Projection-only v1.0</x:v>
      </x:c>
    </x:row>
    <x:row r="234">
      <x:c r="A234" s="26" t="n">
        <x:v>230</x:v>
      </x:c>
      <x:c r="B234" s="26" t="n">
        <x:v>5</x:v>
      </x:c>
      <x:c r="C234" s="26" t="n">
        <x:v>230</x:v>
      </x:c>
      <x:c r="D234" s="26" t="str">
        <x:v>Johnny Wilson</x:v>
      </x:c>
      <x:c r="E234" s="26" t="str">
        <x:v>PHI</x:v>
      </x:c>
      <x:c r="F234" s="26" t="str">
        <x:v>WR</x:v>
      </x:c>
      <x:c r="G234" s="28" t="n">
        <x:v>0</x:v>
      </x:c>
      <x:c r="H234" s="28" t="n">
        <x:v>-110.6</x:v>
      </x:c>
      <x:c r="I234" s="28" t="n">
        <x:v>0</x:v>
      </x:c>
      <x:c r="J234" s="28" t="n">
        <x:v>-110.6</x:v>
      </x:c>
      <x:c r="K234" s="27"/>
      <x:c r="L234" s="31" t="str">
        <x:v>ADP NOT LOADED</x:v>
      </x:c>
      <x:c r="M234" s="26" t="str">
        <x:v>Projection-only v1.0</x:v>
      </x:c>
    </x:row>
    <x:row r="235">
      <x:c r="A235" s="26" t="n">
        <x:v>231</x:v>
      </x:c>
      <x:c r="B235" s="26" t="n">
        <x:v>5</x:v>
      </x:c>
      <x:c r="C235" s="26" t="n">
        <x:v>231</x:v>
      </x:c>
      <x:c r="D235" s="26" t="str">
        <x:v>Josh Cameron</x:v>
      </x:c>
      <x:c r="E235" s="26" t="str">
        <x:v>JAX</x:v>
      </x:c>
      <x:c r="F235" s="26" t="str">
        <x:v>WR</x:v>
      </x:c>
      <x:c r="G235" s="28" t="n">
        <x:v>0</x:v>
      </x:c>
      <x:c r="H235" s="28" t="n">
        <x:v>-110.6</x:v>
      </x:c>
      <x:c r="I235" s="28" t="n">
        <x:v>0</x:v>
      </x:c>
      <x:c r="J235" s="28" t="n">
        <x:v>-110.6</x:v>
      </x:c>
      <x:c r="K235" s="27"/>
      <x:c r="L235" s="31" t="str">
        <x:v>ADP NOT LOADED</x:v>
      </x:c>
      <x:c r="M235" s="26" t="str">
        <x:v>Projection-only v1.0</x:v>
      </x:c>
    </x:row>
    <x:row r="236">
      <x:c r="A236" s="26" t="n">
        <x:v>232</x:v>
      </x:c>
      <x:c r="B236" s="26" t="n">
        <x:v>5</x:v>
      </x:c>
      <x:c r="C236" s="26" t="n">
        <x:v>232</x:v>
      </x:c>
      <x:c r="D236" s="26" t="str">
        <x:v>Justin Shorter</x:v>
      </x:c>
      <x:c r="E236" s="26" t="str">
        <x:v>LV</x:v>
      </x:c>
      <x:c r="F236" s="26" t="str">
        <x:v>WR</x:v>
      </x:c>
      <x:c r="G236" s="28" t="n">
        <x:v>0</x:v>
      </x:c>
      <x:c r="H236" s="28" t="n">
        <x:v>-110.6</x:v>
      </x:c>
      <x:c r="I236" s="28" t="n">
        <x:v>0</x:v>
      </x:c>
      <x:c r="J236" s="28" t="n">
        <x:v>-110.6</x:v>
      </x:c>
      <x:c r="K236" s="27"/>
      <x:c r="L236" s="31" t="str">
        <x:v>ADP NOT LOADED</x:v>
      </x:c>
      <x:c r="M236" s="26" t="str">
        <x:v>Projection-only v1.0</x:v>
      </x:c>
    </x:row>
    <x:row r="237">
      <x:c r="A237" s="26" t="n">
        <x:v>233</x:v>
      </x:c>
      <x:c r="B237" s="26" t="n">
        <x:v>5</x:v>
      </x:c>
      <x:c r="C237" s="26" t="n">
        <x:v>233</x:v>
      </x:c>
      <x:c r="D237" s="26" t="str">
        <x:v>K.J. Osborn</x:v>
      </x:c>
      <x:c r="E237" s="26" t="str">
        <x:v>TEN</x:v>
      </x:c>
      <x:c r="F237" s="26" t="str">
        <x:v>WR</x:v>
      </x:c>
      <x:c r="G237" s="28" t="n">
        <x:v>0</x:v>
      </x:c>
      <x:c r="H237" s="28" t="n">
        <x:v>-110.6</x:v>
      </x:c>
      <x:c r="I237" s="28" t="n">
        <x:v>0</x:v>
      </x:c>
      <x:c r="J237" s="28" t="n">
        <x:v>-110.6</x:v>
      </x:c>
      <x:c r="K237" s="27"/>
      <x:c r="L237" s="31" t="str">
        <x:v>ADP NOT LOADED</x:v>
      </x:c>
      <x:c r="M237" s="26" t="str">
        <x:v>Projection-only v1.0</x:v>
      </x:c>
    </x:row>
    <x:row r="238">
      <x:c r="A238" s="26" t="n">
        <x:v>234</x:v>
      </x:c>
      <x:c r="B238" s="26" t="n">
        <x:v>5</x:v>
      </x:c>
      <x:c r="C238" s="26" t="n">
        <x:v>234</x:v>
      </x:c>
      <x:c r="D238" s="26" t="str">
        <x:v>Ke'Shawn Williams</x:v>
      </x:c>
      <x:c r="E238" s="26" t="str">
        <x:v>CIN</x:v>
      </x:c>
      <x:c r="F238" s="26" t="str">
        <x:v>WR</x:v>
      </x:c>
      <x:c r="G238" s="28" t="n">
        <x:v>0</x:v>
      </x:c>
      <x:c r="H238" s="28" t="n">
        <x:v>-110.6</x:v>
      </x:c>
      <x:c r="I238" s="28" t="n">
        <x:v>0</x:v>
      </x:c>
      <x:c r="J238" s="28" t="n">
        <x:v>-110.6</x:v>
      </x:c>
      <x:c r="K238" s="27"/>
      <x:c r="L238" s="31" t="str">
        <x:v>ADP NOT LOADED</x:v>
      </x:c>
      <x:c r="M238" s="26" t="str">
        <x:v>Projection-only v1.0</x:v>
      </x:c>
    </x:row>
    <x:row r="239">
      <x:c r="A239" s="26" t="n">
        <x:v>235</x:v>
      </x:c>
      <x:c r="B239" s="26" t="n">
        <x:v>5</x:v>
      </x:c>
      <x:c r="C239" s="26" t="n">
        <x:v>235</x:v>
      </x:c>
      <x:c r="D239" s="26" t="str">
        <x:v>Kendrick Law</x:v>
      </x:c>
      <x:c r="E239" s="26" t="str">
        <x:v>DET</x:v>
      </x:c>
      <x:c r="F239" s="26" t="str">
        <x:v>WR</x:v>
      </x:c>
      <x:c r="G239" s="28" t="n">
        <x:v>0</x:v>
      </x:c>
      <x:c r="H239" s="28" t="n">
        <x:v>-110.6</x:v>
      </x:c>
      <x:c r="I239" s="28" t="n">
        <x:v>0</x:v>
      </x:c>
      <x:c r="J239" s="28" t="n">
        <x:v>-110.6</x:v>
      </x:c>
      <x:c r="K239" s="27"/>
      <x:c r="L239" s="31" t="str">
        <x:v>ADP NOT LOADED</x:v>
      </x:c>
      <x:c r="M239" s="26" t="str">
        <x:v>Projection-only v1.0</x:v>
      </x:c>
    </x:row>
    <x:row r="240">
      <x:c r="A240" s="26" t="n">
        <x:v>236</x:v>
      </x:c>
      <x:c r="B240" s="26" t="n">
        <x:v>5</x:v>
      </x:c>
      <x:c r="C240" s="26" t="n">
        <x:v>236</x:v>
      </x:c>
      <x:c r="D240" s="26" t="str">
        <x:v>LaJohntay Wester</x:v>
      </x:c>
      <x:c r="E240" s="26" t="str">
        <x:v>BAL</x:v>
      </x:c>
      <x:c r="F240" s="26" t="str">
        <x:v>WR</x:v>
      </x:c>
      <x:c r="G240" s="28" t="n">
        <x:v>0</x:v>
      </x:c>
      <x:c r="H240" s="28" t="n">
        <x:v>-110.6</x:v>
      </x:c>
      <x:c r="I240" s="28" t="n">
        <x:v>0</x:v>
      </x:c>
      <x:c r="J240" s="28" t="n">
        <x:v>-110.6</x:v>
      </x:c>
      <x:c r="K240" s="27"/>
      <x:c r="L240" s="31" t="str">
        <x:v>ADP NOT LOADED</x:v>
      </x:c>
      <x:c r="M240" s="26" t="str">
        <x:v>Projection-only v1.0</x:v>
      </x:c>
    </x:row>
    <x:row r="241">
      <x:c r="A241" s="26" t="n">
        <x:v>237</x:v>
      </x:c>
      <x:c r="B241" s="26" t="n">
        <x:v>5</x:v>
      </x:c>
      <x:c r="C241" s="26" t="n">
        <x:v>237</x:v>
      </x:c>
      <x:c r="D241" s="26" t="str">
        <x:v>Laquon Treadwell</x:v>
      </x:c>
      <x:c r="E241" s="26" t="str">
        <x:v>IND</x:v>
      </x:c>
      <x:c r="F241" s="26" t="str">
        <x:v>WR</x:v>
      </x:c>
      <x:c r="G241" s="28" t="n">
        <x:v>0</x:v>
      </x:c>
      <x:c r="H241" s="28" t="n">
        <x:v>-110.6</x:v>
      </x:c>
      <x:c r="I241" s="28" t="n">
        <x:v>0</x:v>
      </x:c>
      <x:c r="J241" s="28" t="n">
        <x:v>-110.6</x:v>
      </x:c>
      <x:c r="K241" s="27"/>
      <x:c r="L241" s="31" t="str">
        <x:v>ADP NOT LOADED</x:v>
      </x:c>
      <x:c r="M241" s="26" t="str">
        <x:v>Projection-only v1.0</x:v>
      </x:c>
    </x:row>
    <x:row r="242">
      <x:c r="A242" s="26" t="n">
        <x:v>238</x:v>
      </x:c>
      <x:c r="B242" s="26" t="n">
        <x:v>5</x:v>
      </x:c>
      <x:c r="C242" s="26" t="n">
        <x:v>238</x:v>
      </x:c>
      <x:c r="D242" s="26" t="str">
        <x:v>Lewis Bond</x:v>
      </x:c>
      <x:c r="E242" s="26" t="str">
        <x:v>HOU</x:v>
      </x:c>
      <x:c r="F242" s="26" t="str">
        <x:v>WR</x:v>
      </x:c>
      <x:c r="G242" s="28" t="n">
        <x:v>0</x:v>
      </x:c>
      <x:c r="H242" s="28" t="n">
        <x:v>-110.6</x:v>
      </x:c>
      <x:c r="I242" s="28" t="n">
        <x:v>0</x:v>
      </x:c>
      <x:c r="J242" s="28" t="n">
        <x:v>-110.6</x:v>
      </x:c>
      <x:c r="K242" s="27"/>
      <x:c r="L242" s="31" t="str">
        <x:v>ADP NOT LOADED</x:v>
      </x:c>
      <x:c r="M242" s="26" t="str">
        <x:v>Projection-only v1.0</x:v>
      </x:c>
    </x:row>
    <x:row r="243">
      <x:c r="A243" s="26" t="n">
        <x:v>239</x:v>
      </x:c>
      <x:c r="B243" s="26" t="n">
        <x:v>5</x:v>
      </x:c>
      <x:c r="C243" s="26" t="n">
        <x:v>239</x:v>
      </x:c>
      <x:c r="D243" s="26" t="str">
        <x:v>Mason Kinsey</x:v>
      </x:c>
      <x:c r="E243" s="26" t="str">
        <x:v>TEN</x:v>
      </x:c>
      <x:c r="F243" s="26" t="str">
        <x:v>WR</x:v>
      </x:c>
      <x:c r="G243" s="28" t="n">
        <x:v>0</x:v>
      </x:c>
      <x:c r="H243" s="28" t="n">
        <x:v>-110.6</x:v>
      </x:c>
      <x:c r="I243" s="28" t="n">
        <x:v>0</x:v>
      </x:c>
      <x:c r="J243" s="28" t="n">
        <x:v>-110.6</x:v>
      </x:c>
      <x:c r="K243" s="27"/>
      <x:c r="L243" s="31" t="str">
        <x:v>ADP NOT LOADED</x:v>
      </x:c>
      <x:c r="M243" s="26" t="str">
        <x:v>Projection-only v1.0</x:v>
      </x:c>
    </x:row>
    <x:row r="244">
      <x:c r="A244" s="26" t="n">
        <x:v>240</x:v>
      </x:c>
      <x:c r="B244" s="26" t="n">
        <x:v>5</x:v>
      </x:c>
      <x:c r="C244" s="26" t="n">
        <x:v>240</x:v>
      </x:c>
      <x:c r="D244" s="26" t="str">
        <x:v>Mecole Hardman Jr.</x:v>
      </x:c>
      <x:c r="E244" s="26" t="str">
        <x:v>BUF</x:v>
      </x:c>
      <x:c r="F244" s="26" t="str">
        <x:v>WR</x:v>
      </x:c>
      <x:c r="G244" s="28" t="n">
        <x:v>0</x:v>
      </x:c>
      <x:c r="H244" s="28" t="n">
        <x:v>-110.6</x:v>
      </x:c>
      <x:c r="I244" s="28" t="n">
        <x:v>0</x:v>
      </x:c>
      <x:c r="J244" s="28" t="n">
        <x:v>-110.6</x:v>
      </x:c>
      <x:c r="K244" s="27"/>
      <x:c r="L244" s="31" t="str">
        <x:v>ADP NOT LOADED</x:v>
      </x:c>
      <x:c r="M244" s="26" t="str">
        <x:v>Projection-only v1.0</x:v>
      </x:c>
    </x:row>
    <x:row r="245">
      <x:c r="A245" s="26" t="n">
        <x:v>241</x:v>
      </x:c>
      <x:c r="B245" s="26" t="n">
        <x:v>5</x:v>
      </x:c>
      <x:c r="C245" s="26" t="n">
        <x:v>241</x:v>
      </x:c>
      <x:c r="D245" s="26" t="str">
        <x:v>Michael Bandy</x:v>
      </x:c>
      <x:c r="E245" s="26" t="str">
        <x:v>DEN</x:v>
      </x:c>
      <x:c r="F245" s="26" t="str">
        <x:v>WR</x:v>
      </x:c>
      <x:c r="G245" s="28" t="n">
        <x:v>0</x:v>
      </x:c>
      <x:c r="H245" s="28" t="n">
        <x:v>-110.6</x:v>
      </x:c>
      <x:c r="I245" s="28" t="n">
        <x:v>0</x:v>
      </x:c>
      <x:c r="J245" s="28" t="n">
        <x:v>-110.6</x:v>
      </x:c>
      <x:c r="K245" s="27"/>
      <x:c r="L245" s="31" t="str">
        <x:v>ADP NOT LOADED</x:v>
      </x:c>
      <x:c r="M245" s="26" t="str">
        <x:v>Projection-only v1.0</x:v>
      </x:c>
    </x:row>
    <x:row r="246">
      <x:c r="A246" s="26" t="n">
        <x:v>242</x:v>
      </x:c>
      <x:c r="B246" s="26" t="n">
        <x:v>5</x:v>
      </x:c>
      <x:c r="C246" s="26" t="n">
        <x:v>242</x:v>
      </x:c>
      <x:c r="D246" s="26" t="str">
        <x:v>Myles Price</x:v>
      </x:c>
      <x:c r="E246" s="26" t="str">
        <x:v>MIN</x:v>
      </x:c>
      <x:c r="F246" s="26" t="str">
        <x:v>WR</x:v>
      </x:c>
      <x:c r="G246" s="28" t="n">
        <x:v>0</x:v>
      </x:c>
      <x:c r="H246" s="28" t="n">
        <x:v>-110.6</x:v>
      </x:c>
      <x:c r="I246" s="28" t="n">
        <x:v>0</x:v>
      </x:c>
      <x:c r="J246" s="28" t="n">
        <x:v>-110.6</x:v>
      </x:c>
      <x:c r="K246" s="27"/>
      <x:c r="L246" s="31" t="str">
        <x:v>ADP NOT LOADED</x:v>
      </x:c>
      <x:c r="M246" s="26" t="str">
        <x:v>Projection-only v1.0</x:v>
      </x:c>
    </x:row>
    <x:row r="247">
      <x:c r="A247" s="26" t="n">
        <x:v>243</x:v>
      </x:c>
      <x:c r="B247" s="26" t="n">
        <x:v>5</x:v>
      </x:c>
      <x:c r="C247" s="26" t="n">
        <x:v>243</x:v>
      </x:c>
      <x:c r="D247" s="26" t="str">
        <x:v>Nick Nash</x:v>
      </x:c>
      <x:c r="E247" s="26" t="str">
        <x:v>WAS</x:v>
      </x:c>
      <x:c r="F247" s="26" t="str">
        <x:v>WR</x:v>
      </x:c>
      <x:c r="G247" s="28" t="n">
        <x:v>0</x:v>
      </x:c>
      <x:c r="H247" s="28" t="n">
        <x:v>-110.6</x:v>
      </x:c>
      <x:c r="I247" s="28" t="n">
        <x:v>0</x:v>
      </x:c>
      <x:c r="J247" s="28" t="n">
        <x:v>-110.6</x:v>
      </x:c>
      <x:c r="K247" s="27"/>
      <x:c r="L247" s="31" t="str">
        <x:v>ADP NOT LOADED</x:v>
      </x:c>
      <x:c r="M247" s="26" t="str">
        <x:v>Projection-only v1.0</x:v>
      </x:c>
    </x:row>
    <x:row r="248">
      <x:c r="A248" s="26" t="n">
        <x:v>244</x:v>
      </x:c>
      <x:c r="B248" s="26" t="n">
        <x:v>5</x:v>
      </x:c>
      <x:c r="C248" s="26" t="n">
        <x:v>244</x:v>
      </x:c>
      <x:c r="D248" s="26" t="str">
        <x:v>Nikko Remigio</x:v>
      </x:c>
      <x:c r="E248" s="26" t="str">
        <x:v>KC</x:v>
      </x:c>
      <x:c r="F248" s="26" t="str">
        <x:v>WR</x:v>
      </x:c>
      <x:c r="G248" s="28" t="n">
        <x:v>0</x:v>
      </x:c>
      <x:c r="H248" s="28" t="n">
        <x:v>-110.6</x:v>
      </x:c>
      <x:c r="I248" s="28" t="n">
        <x:v>0</x:v>
      </x:c>
      <x:c r="J248" s="28" t="n">
        <x:v>-110.6</x:v>
      </x:c>
      <x:c r="K248" s="27"/>
      <x:c r="L248" s="31" t="str">
        <x:v>ADP NOT LOADED</x:v>
      </x:c>
      <x:c r="M248" s="26" t="str">
        <x:v>Projection-only v1.0</x:v>
      </x:c>
    </x:row>
    <x:row r="249">
      <x:c r="A249" s="26" t="n">
        <x:v>245</x:v>
      </x:c>
      <x:c r="B249" s="26" t="n">
        <x:v>5</x:v>
      </x:c>
      <x:c r="C249" s="26" t="n">
        <x:v>245</x:v>
      </x:c>
      <x:c r="D249" s="26" t="str">
        <x:v>Ricky Pearsall</x:v>
      </x:c>
      <x:c r="E249" s="26" t="str">
        <x:v>SF</x:v>
      </x:c>
      <x:c r="F249" s="26" t="str">
        <x:v>WR</x:v>
      </x:c>
      <x:c r="G249" s="28" t="n">
        <x:v>0</x:v>
      </x:c>
      <x:c r="H249" s="28" t="n">
        <x:v>-110.6</x:v>
      </x:c>
      <x:c r="I249" s="28" t="n">
        <x:v>0</x:v>
      </x:c>
      <x:c r="J249" s="28" t="n">
        <x:v>-110.6</x:v>
      </x:c>
      <x:c r="K249" s="27"/>
      <x:c r="L249" s="31" t="str">
        <x:v>ADP NOT LOADED</x:v>
      </x:c>
      <x:c r="M249" s="26" t="str">
        <x:v>Projection-only v1.0</x:v>
      </x:c>
    </x:row>
    <x:row r="250">
      <x:c r="A250" s="26" t="n">
        <x:v>246</x:v>
      </x:c>
      <x:c r="B250" s="26" t="n">
        <x:v>5</x:v>
      </x:c>
      <x:c r="C250" s="26" t="n">
        <x:v>246</x:v>
      </x:c>
      <x:c r="D250" s="26" t="str">
        <x:v>Ronnie Bell</x:v>
      </x:c>
      <x:c r="E250" s="26" t="str">
        <x:v>NO</x:v>
      </x:c>
      <x:c r="F250" s="26" t="str">
        <x:v>WR</x:v>
      </x:c>
      <x:c r="G250" s="28" t="n">
        <x:v>0</x:v>
      </x:c>
      <x:c r="H250" s="28" t="n">
        <x:v>-110.6</x:v>
      </x:c>
      <x:c r="I250" s="28" t="n">
        <x:v>0</x:v>
      </x:c>
      <x:c r="J250" s="28" t="n">
        <x:v>-110.6</x:v>
      </x:c>
      <x:c r="K250" s="27"/>
      <x:c r="L250" s="31" t="str">
        <x:v>ADP NOT LOADED</x:v>
      </x:c>
      <x:c r="M250" s="26" t="str">
        <x:v>Projection-only v1.0</x:v>
      </x:c>
    </x:row>
    <x:row r="251">
      <x:c r="A251" s="26" t="n">
        <x:v>247</x:v>
      </x:c>
      <x:c r="B251" s="26" t="n">
        <x:v>5</x:v>
      </x:c>
      <x:c r="C251" s="26" t="n">
        <x:v>247</x:v>
      </x:c>
      <x:c r="D251" s="26" t="str">
        <x:v>Ryan Miller</x:v>
      </x:c>
      <x:c r="E251" s="26" t="str">
        <x:v>NYG</x:v>
      </x:c>
      <x:c r="F251" s="26" t="str">
        <x:v>WR</x:v>
      </x:c>
      <x:c r="G251" s="28" t="n">
        <x:v>0</x:v>
      </x:c>
      <x:c r="H251" s="28" t="n">
        <x:v>-110.6</x:v>
      </x:c>
      <x:c r="I251" s="28" t="n">
        <x:v>0</x:v>
      </x:c>
      <x:c r="J251" s="28" t="n">
        <x:v>-110.6</x:v>
      </x:c>
      <x:c r="K251" s="27"/>
      <x:c r="L251" s="31" t="str">
        <x:v>ADP NOT LOADED</x:v>
      </x:c>
      <x:c r="M251" s="26" t="str">
        <x:v>Projection-only v1.0</x:v>
      </x:c>
    </x:row>
    <x:row r="252">
      <x:c r="A252" s="26" t="n">
        <x:v>248</x:v>
      </x:c>
      <x:c r="B252" s="26" t="n">
        <x:v>5</x:v>
      </x:c>
      <x:c r="C252" s="26" t="n">
        <x:v>248</x:v>
      </x:c>
      <x:c r="D252" s="26" t="str">
        <x:v>Scotty Miller</x:v>
      </x:c>
      <x:c r="E252" s="26" t="str">
        <x:v>CHI</x:v>
      </x:c>
      <x:c r="F252" s="26" t="str">
        <x:v>WR</x:v>
      </x:c>
      <x:c r="G252" s="28" t="n">
        <x:v>0</x:v>
      </x:c>
      <x:c r="H252" s="28" t="n">
        <x:v>-110.6</x:v>
      </x:c>
      <x:c r="I252" s="28" t="n">
        <x:v>0</x:v>
      </x:c>
      <x:c r="J252" s="28" t="n">
        <x:v>-110.6</x:v>
      </x:c>
      <x:c r="K252" s="27"/>
      <x:c r="L252" s="31" t="str">
        <x:v>ADP NOT LOADED</x:v>
      </x:c>
      <x:c r="M252" s="26" t="str">
        <x:v>Projection-only v1.0</x:v>
      </x:c>
    </x:row>
    <x:row r="253">
      <x:c r="A253" s="26" t="n">
        <x:v>249</x:v>
      </x:c>
      <x:c r="B253" s="26" t="n">
        <x:v>5</x:v>
      </x:c>
      <x:c r="C253" s="26" t="n">
        <x:v>249</x:v>
      </x:c>
      <x:c r="D253" s="26" t="str">
        <x:v>Skyy Moore</x:v>
      </x:c>
      <x:c r="E253" s="26" t="str">
        <x:v>GB</x:v>
      </x:c>
      <x:c r="F253" s="26" t="str">
        <x:v>WR</x:v>
      </x:c>
      <x:c r="G253" s="28" t="n">
        <x:v>0</x:v>
      </x:c>
      <x:c r="H253" s="28" t="n">
        <x:v>-110.6</x:v>
      </x:c>
      <x:c r="I253" s="28" t="n">
        <x:v>0</x:v>
      </x:c>
      <x:c r="J253" s="28" t="n">
        <x:v>-110.6</x:v>
      </x:c>
      <x:c r="K253" s="27"/>
      <x:c r="L253" s="31" t="str">
        <x:v>ADP NOT LOADED</x:v>
      </x:c>
      <x:c r="M253" s="26" t="str">
        <x:v>Projection-only v1.0</x:v>
      </x:c>
    </x:row>
    <x:row r="254">
      <x:c r="A254" s="26" t="n">
        <x:v>250</x:v>
      </x:c>
      <x:c r="B254" s="26" t="n">
        <x:v>5</x:v>
      </x:c>
      <x:c r="C254" s="26" t="n">
        <x:v>250</x:v>
      </x:c>
      <x:c r="D254" s="26" t="str">
        <x:v>Tahj Washington</x:v>
      </x:c>
      <x:c r="E254" s="26" t="str">
        <x:v>MIA</x:v>
      </x:c>
      <x:c r="F254" s="26" t="str">
        <x:v>WR</x:v>
      </x:c>
      <x:c r="G254" s="28" t="n">
        <x:v>0</x:v>
      </x:c>
      <x:c r="H254" s="28" t="n">
        <x:v>-110.6</x:v>
      </x:c>
      <x:c r="I254" s="28" t="n">
        <x:v>0</x:v>
      </x:c>
      <x:c r="J254" s="28" t="n">
        <x:v>-110.6</x:v>
      </x:c>
      <x:c r="K254" s="27"/>
      <x:c r="L254" s="31" t="str">
        <x:v>ADP NOT LOADED</x:v>
      </x:c>
      <x:c r="M254" s="26" t="str">
        <x:v>Projection-only v1.0</x:v>
      </x:c>
    </x:row>
    <x:row r="255">
      <x:c r="A255" s="26" t="n">
        <x:v>251</x:v>
      </x:c>
      <x:c r="B255" s="26" t="n">
        <x:v>5</x:v>
      </x:c>
      <x:c r="C255" s="26" t="n">
        <x:v>251</x:v>
      </x:c>
      <x:c r="D255" s="26" t="str">
        <x:v>Terrace Marshall Jr.</x:v>
      </x:c>
      <x:c r="E255" s="26" t="str">
        <x:v>MIA</x:v>
      </x:c>
      <x:c r="F255" s="26" t="str">
        <x:v>WR</x:v>
      </x:c>
      <x:c r="G255" s="28" t="n">
        <x:v>0</x:v>
      </x:c>
      <x:c r="H255" s="28" t="n">
        <x:v>-110.6</x:v>
      </x:c>
      <x:c r="I255" s="28" t="n">
        <x:v>0</x:v>
      </x:c>
      <x:c r="J255" s="28" t="n">
        <x:v>-110.6</x:v>
      </x:c>
      <x:c r="K255" s="27"/>
      <x:c r="L255" s="31" t="str">
        <x:v>ADP NOT LOADED</x:v>
      </x:c>
      <x:c r="M255" s="26" t="str">
        <x:v>Projection-only v1.0</x:v>
      </x:c>
    </x:row>
    <x:row r="256">
      <x:c r="A256" s="26" t="n">
        <x:v>252</x:v>
      </x:c>
      <x:c r="B256" s="26" t="n">
        <x:v>5</x:v>
      </x:c>
      <x:c r="C256" s="26" t="n">
        <x:v>252</x:v>
      </x:c>
      <x:c r="D256" s="26" t="str">
        <x:v>Tim Jones</x:v>
      </x:c>
      <x:c r="E256" s="26" t="str">
        <x:v>JAX</x:v>
      </x:c>
      <x:c r="F256" s="26" t="str">
        <x:v>WR</x:v>
      </x:c>
      <x:c r="G256" s="28" t="n">
        <x:v>0</x:v>
      </x:c>
      <x:c r="H256" s="28" t="n">
        <x:v>-110.6</x:v>
      </x:c>
      <x:c r="I256" s="28" t="n">
        <x:v>0</x:v>
      </x:c>
      <x:c r="J256" s="28" t="n">
        <x:v>-110.6</x:v>
      </x:c>
      <x:c r="K256" s="27"/>
      <x:c r="L256" s="31" t="str">
        <x:v>ADP NOT LOADED</x:v>
      </x:c>
      <x:c r="M256" s="26" t="str">
        <x:v>Projection-only v1.0</x:v>
      </x:c>
    </x:row>
    <x:row r="257">
      <x:c r="A257" s="26" t="n">
        <x:v>253</x:v>
      </x:c>
      <x:c r="B257" s="26" t="n">
        <x:v>5</x:v>
      </x:c>
      <x:c r="C257" s="26" t="n">
        <x:v>253</x:v>
      </x:c>
      <x:c r="D257" s="26" t="str">
        <x:v>Trey Palmer</x:v>
      </x:c>
      <x:c r="E257" s="26" t="str">
        <x:v>NO</x:v>
      </x:c>
      <x:c r="F257" s="26" t="str">
        <x:v>WR</x:v>
      </x:c>
      <x:c r="G257" s="28" t="n">
        <x:v>0</x:v>
      </x:c>
      <x:c r="H257" s="28" t="n">
        <x:v>-110.6</x:v>
      </x:c>
      <x:c r="I257" s="28" t="n">
        <x:v>0</x:v>
      </x:c>
      <x:c r="J257" s="28" t="n">
        <x:v>-110.6</x:v>
      </x:c>
      <x:c r="K257" s="27"/>
      <x:c r="L257" s="31" t="str">
        <x:v>ADP NOT LOADED</x:v>
      </x:c>
      <x:c r="M257" s="26" t="str">
        <x:v>Projection-only v1.0</x:v>
      </x:c>
    </x:row>
    <x:row r="258">
      <x:c r="A258" s="26" t="n">
        <x:v>254</x:v>
      </x:c>
      <x:c r="B258" s="26" t="n">
        <x:v>5</x:v>
      </x:c>
      <x:c r="C258" s="26" t="n">
        <x:v>254</x:v>
      </x:c>
      <x:c r="D258" s="26" t="str">
        <x:v>Tyler Scott</x:v>
      </x:c>
      <x:c r="E258" s="26" t="str">
        <x:v>LAR</x:v>
      </x:c>
      <x:c r="F258" s="26" t="str">
        <x:v>WR</x:v>
      </x:c>
      <x:c r="G258" s="28" t="n">
        <x:v>0</x:v>
      </x:c>
      <x:c r="H258" s="28" t="n">
        <x:v>-110.6</x:v>
      </x:c>
      <x:c r="I258" s="28" t="n">
        <x:v>0</x:v>
      </x:c>
      <x:c r="J258" s="28" t="n">
        <x:v>-110.6</x:v>
      </x:c>
      <x:c r="K258" s="27"/>
      <x:c r="L258" s="31" t="str">
        <x:v>ADP NOT LOADED</x:v>
      </x:c>
      <x:c r="M258" s="26" t="str">
        <x:v>Projection-only v1.0</x:v>
      </x:c>
    </x:row>
    <x:row r="259">
      <x:c r="A259" s="26" t="n">
        <x:v>255</x:v>
      </x:c>
      <x:c r="B259" s="26" t="n">
        <x:v>5</x:v>
      </x:c>
      <x:c r="C259" s="26" t="n">
        <x:v>255</x:v>
      </x:c>
      <x:c r="D259" s="26" t="str">
        <x:v>Xavier Gipson</x:v>
      </x:c>
      <x:c r="E259" s="26" t="str">
        <x:v>NYG</x:v>
      </x:c>
      <x:c r="F259" s="26" t="str">
        <x:v>WR</x:v>
      </x:c>
      <x:c r="G259" s="28" t="n">
        <x:v>0</x:v>
      </x:c>
      <x:c r="H259" s="28" t="n">
        <x:v>-110.6</x:v>
      </x:c>
      <x:c r="I259" s="28" t="n">
        <x:v>0</x:v>
      </x:c>
      <x:c r="J259" s="28" t="n">
        <x:v>-110.6</x:v>
      </x:c>
      <x:c r="K259" s="27"/>
      <x:c r="L259" s="31" t="str">
        <x:v>ADP NOT LOADED</x:v>
      </x:c>
      <x:c r="M259" s="26" t="str">
        <x:v>Projection-only v1.0</x:v>
      </x:c>
    </x:row>
  </x:sheetData>
  <x:mergeCells>
    <x:mergeCell ref="A1:M1"/>
    <x:mergeCell ref="A2:M2"/>
  </x:mergeCells>
  <x:conditionalFormatting sqref="B5:B259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25" hidden="0" customWidth="1"/>
  </x:cols>
  <x:sheetData>
    <x:row r="1" ht="34" customHeight="1">
      <x:c r="A1" s="3" t="str">
        <x:v>TE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TE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Trey McBride</x:v>
      </x:c>
      <x:c r="E5" s="26" t="str">
        <x:v>ARI</x:v>
      </x:c>
      <x:c r="F5" s="26" t="str">
        <x:v>TE</x:v>
      </x:c>
      <x:c r="G5" s="28" t="n">
        <x:v>202.7</x:v>
      </x:c>
      <x:c r="H5" s="28" t="n">
        <x:v>59.39999999999998</x:v>
      </x:c>
      <x:c r="I5" s="28" t="n">
        <x:v>0</x:v>
      </x:c>
      <x:c r="J5" s="28" t="n">
        <x:v>59.39999999999998</x:v>
      </x:c>
      <x:c r="K5" s="27"/>
      <x:c r="L5" s="31" t="str">
        <x:v>ADP NOT LOADED</x:v>
      </x:c>
      <x:c r="M5" s="26" t="str">
        <x:v>Projection-only v1.0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Brock Bowers</x:v>
      </x:c>
      <x:c r="E6" s="26" t="str">
        <x:v>LV</x:v>
      </x:c>
      <x:c r="F6" s="26" t="str">
        <x:v>TE</x:v>
      </x:c>
      <x:c r="G6" s="28" t="n">
        <x:v>196</x:v>
      </x:c>
      <x:c r="H6" s="28" t="n">
        <x:v>52.69999999999999</x:v>
      </x:c>
      <x:c r="I6" s="28" t="n">
        <x:v>0</x:v>
      </x:c>
      <x:c r="J6" s="28" t="n">
        <x:v>52.69999999999999</x:v>
      </x:c>
      <x:c r="K6" s="27"/>
      <x:c r="L6" s="31" t="str">
        <x:v>ADP NOT LOADED</x:v>
      </x:c>
      <x:c r="M6" s="26" t="str">
        <x:v>Projection-only v1.0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Colston Loveland</x:v>
      </x:c>
      <x:c r="E7" s="26" t="str">
        <x:v>CHI</x:v>
      </x:c>
      <x:c r="F7" s="26" t="str">
        <x:v>TE</x:v>
      </x:c>
      <x:c r="G7" s="28" t="n">
        <x:v>169.9</x:v>
      </x:c>
      <x:c r="H7" s="28" t="n">
        <x:v>26.599999999999994</x:v>
      </x:c>
      <x:c r="I7" s="28" t="n">
        <x:v>0</x:v>
      </x:c>
      <x:c r="J7" s="28" t="n">
        <x:v>26.599999999999994</x:v>
      </x:c>
      <x:c r="K7" s="27"/>
      <x:c r="L7" s="31" t="str">
        <x:v>ADP NOT LOADED</x:v>
      </x:c>
      <x:c r="M7" s="26" t="str">
        <x:v>Projection-only v1.0</x:v>
      </x:c>
    </x:row>
    <x:row r="8">
      <x:c r="A8" s="33" t="n">
        <x:v>4</x:v>
      </x:c>
      <x:c r="B8" s="26" t="n">
        <x:v>2</x:v>
      </x:c>
      <x:c r="C8" s="26" t="n">
        <x:v>4</x:v>
      </x:c>
      <x:c r="D8" s="26" t="str">
        <x:v>Tyler Warren</x:v>
      </x:c>
      <x:c r="E8" s="26" t="str">
        <x:v>IND</x:v>
      </x:c>
      <x:c r="F8" s="26" t="str">
        <x:v>TE</x:v>
      </x:c>
      <x:c r="G8" s="28" t="n">
        <x:v>162.1</x:v>
      </x:c>
      <x:c r="H8" s="28" t="n">
        <x:v>18.799999999999983</x:v>
      </x:c>
      <x:c r="I8" s="28" t="n">
        <x:v>0</x:v>
      </x:c>
      <x:c r="J8" s="28" t="n">
        <x:v>18.799999999999983</x:v>
      </x:c>
      <x:c r="K8" s="27"/>
      <x:c r="L8" s="31" t="str">
        <x:v>ADP NOT LOADED</x:v>
      </x:c>
      <x:c r="M8" s="26" t="str">
        <x:v>Projection-only v1.0</x:v>
      </x:c>
    </x:row>
    <x:row r="9">
      <x:c r="A9" s="33" t="n">
        <x:v>5</x:v>
      </x:c>
      <x:c r="B9" s="26" t="n">
        <x:v>2</x:v>
      </x:c>
      <x:c r="C9" s="26" t="n">
        <x:v>5</x:v>
      </x:c>
      <x:c r="D9" s="26" t="str">
        <x:v>Kyle Pitts Sr.</x:v>
      </x:c>
      <x:c r="E9" s="26" t="str">
        <x:v>ATL</x:v>
      </x:c>
      <x:c r="F9" s="26" t="str">
        <x:v>TE</x:v>
      </x:c>
      <x:c r="G9" s="28" t="n">
        <x:v>157.3</x:v>
      </x:c>
      <x:c r="H9" s="28" t="n">
        <x:v>14</x:v>
      </x:c>
      <x:c r="I9" s="28" t="n">
        <x:v>0</x:v>
      </x:c>
      <x:c r="J9" s="28" t="n">
        <x:v>14</x:v>
      </x:c>
      <x:c r="K9" s="27"/>
      <x:c r="L9" s="31" t="str">
        <x:v>ADP NOT LOADED</x:v>
      </x:c>
      <x:c r="M9" s="26" t="str">
        <x:v>Projection-only v1.0</x:v>
      </x:c>
    </x:row>
    <x:row r="10">
      <x:c r="A10" s="33" t="n">
        <x:v>6</x:v>
      </x:c>
      <x:c r="B10" s="26" t="n">
        <x:v>2</x:v>
      </x:c>
      <x:c r="C10" s="26" t="n">
        <x:v>6</x:v>
      </x:c>
      <x:c r="D10" s="26" t="str">
        <x:v>Sam LaPorta</x:v>
      </x:c>
      <x:c r="E10" s="26" t="str">
        <x:v>DET</x:v>
      </x:c>
      <x:c r="F10" s="26" t="str">
        <x:v>TE</x:v>
      </x:c>
      <x:c r="G10" s="28" t="n">
        <x:v>156.8</x:v>
      </x:c>
      <x:c r="H10" s="28" t="n">
        <x:v>13.5</x:v>
      </x:c>
      <x:c r="I10" s="28" t="n">
        <x:v>0</x:v>
      </x:c>
      <x:c r="J10" s="28" t="n">
        <x:v>13.5</x:v>
      </x:c>
      <x:c r="K10" s="27"/>
      <x:c r="L10" s="31" t="str">
        <x:v>ADP NOT LOADED</x:v>
      </x:c>
      <x:c r="M10" s="26" t="str">
        <x:v>Projection-only v1.0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Harold Fannin Jr.</x:v>
      </x:c>
      <x:c r="E11" s="26" t="str">
        <x:v>CLE</x:v>
      </x:c>
      <x:c r="F11" s="26" t="str">
        <x:v>TE</x:v>
      </x:c>
      <x:c r="G11" s="28" t="n">
        <x:v>154.4</x:v>
      </x:c>
      <x:c r="H11" s="28" t="n">
        <x:v>11.099999999999994</x:v>
      </x:c>
      <x:c r="I11" s="28" t="n">
        <x:v>0</x:v>
      </x:c>
      <x:c r="J11" s="28" t="n">
        <x:v>11.099999999999994</x:v>
      </x:c>
      <x:c r="K11" s="27"/>
      <x:c r="L11" s="31" t="str">
        <x:v>ADP NOT LOADED</x:v>
      </x:c>
      <x:c r="M11" s="26" t="str">
        <x:v>Projection-only v1.0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Jake Ferguson</x:v>
      </x:c>
      <x:c r="E12" s="26" t="str">
        <x:v>DAL</x:v>
      </x:c>
      <x:c r="F12" s="26" t="str">
        <x:v>TE</x:v>
      </x:c>
      <x:c r="G12" s="28" t="n">
        <x:v>144.2</x:v>
      </x:c>
      <x:c r="H12" s="28" t="n">
        <x:v>0.8999999999999773</x:v>
      </x:c>
      <x:c r="I12" s="28" t="n">
        <x:v>0</x:v>
      </x:c>
      <x:c r="J12" s="28" t="n">
        <x:v>0.8999999999999773</x:v>
      </x:c>
      <x:c r="K12" s="27"/>
      <x:c r="L12" s="31" t="str">
        <x:v>ADP NOT LOADED</x:v>
      </x:c>
      <x:c r="M12" s="26" t="str">
        <x:v>Projection-only v1.0</x:v>
      </x:c>
    </x:row>
    <x:row r="13">
      <x:c r="A13" s="26" t="n">
        <x:v>9</x:v>
      </x:c>
      <x:c r="B13" s="26" t="n">
        <x:v>3</x:v>
      </x:c>
      <x:c r="C13" s="26" t="n">
        <x:v>9</x:v>
      </x:c>
      <x:c r="D13" s="26" t="str">
        <x:v>Isaiah Likely</x:v>
      </x:c>
      <x:c r="E13" s="26" t="str">
        <x:v>NYG</x:v>
      </x:c>
      <x:c r="F13" s="26" t="str">
        <x:v>TE</x:v>
      </x:c>
      <x:c r="G13" s="28" t="n">
        <x:v>149.2</x:v>
      </x:c>
      <x:c r="H13" s="28" t="n">
        <x:v>5.899999999999977</x:v>
      </x:c>
      <x:c r="I13" s="28" t="n">
        <x:v>0</x:v>
      </x:c>
      <x:c r="J13" s="28" t="n">
        <x:v>5.899999999999977</x:v>
      </x:c>
      <x:c r="K13" s="27"/>
      <x:c r="L13" s="31" t="str">
        <x:v>ADP NOT LOADED</x:v>
      </x:c>
      <x:c r="M13" s="26" t="str">
        <x:v>Projection-only v1.0</x:v>
      </x:c>
    </x:row>
    <x:row r="14">
      <x:c r="A14" s="26" t="n">
        <x:v>10</x:v>
      </x:c>
      <x:c r="B14" s="26" t="n">
        <x:v>3</x:v>
      </x:c>
      <x:c r="C14" s="26" t="n">
        <x:v>10</x:v>
      </x:c>
      <x:c r="D14" s="26" t="str">
        <x:v>Travis Kelce</x:v>
      </x:c>
      <x:c r="E14" s="26" t="str">
        <x:v>KC</x:v>
      </x:c>
      <x:c r="F14" s="26" t="str">
        <x:v>TE</x:v>
      </x:c>
      <x:c r="G14" s="28" t="n">
        <x:v>143.5</x:v>
      </x:c>
      <x:c r="H14" s="28" t="n">
        <x:v>0.19999999999998863</x:v>
      </x:c>
      <x:c r="I14" s="28" t="n">
        <x:v>0</x:v>
      </x:c>
      <x:c r="J14" s="28" t="n">
        <x:v>0.19999999999998863</x:v>
      </x:c>
      <x:c r="K14" s="27"/>
      <x:c r="L14" s="31" t="str">
        <x:v>ADP NOT LOADED</x:v>
      </x:c>
      <x:c r="M14" s="26" t="str">
        <x:v>Projection-only v1.0</x:v>
      </x:c>
    </x:row>
    <x:row r="15">
      <x:c r="A15" s="26" t="n">
        <x:v>11</x:v>
      </x:c>
      <x:c r="B15" s="26" t="n">
        <x:v>3</x:v>
      </x:c>
      <x:c r="C15" s="26" t="n">
        <x:v>11</x:v>
      </x:c>
      <x:c r="D15" s="26" t="str">
        <x:v>Dallas Goedert</x:v>
      </x:c>
      <x:c r="E15" s="26" t="str">
        <x:v>PHI</x:v>
      </x:c>
      <x:c r="F15" s="26" t="str">
        <x:v>TE</x:v>
      </x:c>
      <x:c r="G15" s="28" t="n">
        <x:v>143.5</x:v>
      </x:c>
      <x:c r="H15" s="28" t="n">
        <x:v>0.19999999999998863</x:v>
      </x:c>
      <x:c r="I15" s="28" t="n">
        <x:v>0</x:v>
      </x:c>
      <x:c r="J15" s="28" t="n">
        <x:v>0.19999999999998863</x:v>
      </x:c>
      <x:c r="K15" s="27"/>
      <x:c r="L15" s="31" t="str">
        <x:v>ADP NOT LOADED</x:v>
      </x:c>
      <x:c r="M15" s="26" t="str">
        <x:v>Projection-only v1.0</x:v>
      </x:c>
    </x:row>
    <x:row r="16">
      <x:c r="A16" s="26" t="n">
        <x:v>12</x:v>
      </x:c>
      <x:c r="B16" s="26" t="n">
        <x:v>3</x:v>
      </x:c>
      <x:c r="C16" s="26" t="n">
        <x:v>12</x:v>
      </x:c>
      <x:c r="D16" s="26" t="str">
        <x:v>Dalton Kincaid</x:v>
      </x:c>
      <x:c r="E16" s="26" t="str">
        <x:v>BUF</x:v>
      </x:c>
      <x:c r="F16" s="26" t="str">
        <x:v>TE</x:v>
      </x:c>
      <x:c r="G16" s="28" t="n">
        <x:v>142.4</x:v>
      </x:c>
      <x:c r="H16" s="28" t="n">
        <x:v>-0.9000000000000057</x:v>
      </x:c>
      <x:c r="I16" s="28" t="n">
        <x:v>0</x:v>
      </x:c>
      <x:c r="J16" s="28" t="n">
        <x:v>-0.9000000000000057</x:v>
      </x:c>
      <x:c r="K16" s="27"/>
      <x:c r="L16" s="31" t="str">
        <x:v>ADP NOT LOADED</x:v>
      </x:c>
      <x:c r="M16" s="26" t="str">
        <x:v>Projection-only v1.0</x:v>
      </x:c>
    </x:row>
    <x:row r="17">
      <x:c r="A17" s="26" t="n">
        <x:v>13</x:v>
      </x:c>
      <x:c r="B17" s="26" t="n">
        <x:v>3</x:v>
      </x:c>
      <x:c r="C17" s="26" t="n">
        <x:v>13</x:v>
      </x:c>
      <x:c r="D17" s="26" t="str">
        <x:v>Tucker Kraft</x:v>
      </x:c>
      <x:c r="E17" s="26" t="str">
        <x:v>GB</x:v>
      </x:c>
      <x:c r="F17" s="26" t="str">
        <x:v>TE</x:v>
      </x:c>
      <x:c r="G17" s="28" t="n">
        <x:v>143.3</x:v>
      </x:c>
      <x:c r="H17" s="28" t="n">
        <x:v>0</x:v>
      </x:c>
      <x:c r="I17" s="28" t="n">
        <x:v>0</x:v>
      </x:c>
      <x:c r="J17" s="28" t="n">
        <x:v>0</x:v>
      </x:c>
      <x:c r="K17" s="27"/>
      <x:c r="L17" s="31" t="str">
        <x:v>ADP NOT LOADED</x:v>
      </x:c>
      <x:c r="M17" s="26" t="str">
        <x:v>Projection-only v1.0</x:v>
      </x:c>
    </x:row>
    <x:row r="18">
      <x:c r="A18" s="26" t="n">
        <x:v>14</x:v>
      </x:c>
      <x:c r="B18" s="26" t="n">
        <x:v>3</x:v>
      </x:c>
      <x:c r="C18" s="26" t="n">
        <x:v>14</x:v>
      </x:c>
      <x:c r="D18" s="26" t="str">
        <x:v>Mark Andrews</x:v>
      </x:c>
      <x:c r="E18" s="26" t="str">
        <x:v>BAL</x:v>
      </x:c>
      <x:c r="F18" s="26" t="str">
        <x:v>TE</x:v>
      </x:c>
      <x:c r="G18" s="28" t="n">
        <x:v>141.1</x:v>
      </x:c>
      <x:c r="H18" s="28" t="n">
        <x:v>-2.200000000000017</x:v>
      </x:c>
      <x:c r="I18" s="28" t="n">
        <x:v>0</x:v>
      </x:c>
      <x:c r="J18" s="28" t="n">
        <x:v>-2.200000000000017</x:v>
      </x:c>
      <x:c r="K18" s="27"/>
      <x:c r="L18" s="31" t="str">
        <x:v>ADP NOT LOADED</x:v>
      </x:c>
      <x:c r="M18" s="26" t="str">
        <x:v>Projection-only v1.0</x:v>
      </x:c>
    </x:row>
    <x:row r="19">
      <x:c r="A19" s="26" t="n">
        <x:v>15</x:v>
      </x:c>
      <x:c r="B19" s="26" t="n">
        <x:v>4</x:v>
      </x:c>
      <x:c r="C19" s="26" t="n">
        <x:v>15</x:v>
      </x:c>
      <x:c r="D19" s="26" t="str">
        <x:v>Brenton Strange</x:v>
      </x:c>
      <x:c r="E19" s="26" t="str">
        <x:v>JAX</x:v>
      </x:c>
      <x:c r="F19" s="26" t="str">
        <x:v>TE</x:v>
      </x:c>
      <x:c r="G19" s="28" t="n">
        <x:v>127.2</x:v>
      </x:c>
      <x:c r="H19" s="28" t="n">
        <x:v>-16.10000000000001</x:v>
      </x:c>
      <x:c r="I19" s="28" t="n">
        <x:v>0</x:v>
      </x:c>
      <x:c r="J19" s="28" t="n">
        <x:v>-16.10000000000001</x:v>
      </x:c>
      <x:c r="K19" s="27"/>
      <x:c r="L19" s="31" t="str">
        <x:v>ADP NOT LOADED</x:v>
      </x:c>
      <x:c r="M19" s="26" t="str">
        <x:v>Projection-only v1.0</x:v>
      </x:c>
    </x:row>
    <x:row r="20">
      <x:c r="A20" s="26" t="n">
        <x:v>16</x:v>
      </x:c>
      <x:c r="B20" s="26" t="n">
        <x:v>4</x:v>
      </x:c>
      <x:c r="C20" s="26" t="n">
        <x:v>16</x:v>
      </x:c>
      <x:c r="D20" s="26" t="str">
        <x:v>Hunter Henry</x:v>
      </x:c>
      <x:c r="E20" s="26" t="str">
        <x:v>NE</x:v>
      </x:c>
      <x:c r="F20" s="26" t="str">
        <x:v>TE</x:v>
      </x:c>
      <x:c r="G20" s="28" t="n">
        <x:v>125.3</x:v>
      </x:c>
      <x:c r="H20" s="28" t="n">
        <x:v>-18.000000000000014</x:v>
      </x:c>
      <x:c r="I20" s="28" t="n">
        <x:v>0</x:v>
      </x:c>
      <x:c r="J20" s="28" t="n">
        <x:v>-18.000000000000014</x:v>
      </x:c>
      <x:c r="K20" s="27"/>
      <x:c r="L20" s="31" t="str">
        <x:v>ADP NOT LOADED</x:v>
      </x:c>
      <x:c r="M20" s="26" t="str">
        <x:v>Projection-only v1.0</x:v>
      </x:c>
    </x:row>
    <x:row r="21">
      <x:c r="A21" s="26" t="n">
        <x:v>17</x:v>
      </x:c>
      <x:c r="B21" s="26" t="n">
        <x:v>4</x:v>
      </x:c>
      <x:c r="C21" s="26" t="n">
        <x:v>17</x:v>
      </x:c>
      <x:c r="D21" s="26" t="str">
        <x:v>Dalton Schultz</x:v>
      </x:c>
      <x:c r="E21" s="26" t="str">
        <x:v>HOU</x:v>
      </x:c>
      <x:c r="F21" s="26" t="str">
        <x:v>TE</x:v>
      </x:c>
      <x:c r="G21" s="28" t="n">
        <x:v>109.8</x:v>
      </x:c>
      <x:c r="H21" s="28" t="n">
        <x:v>-33.500000000000014</x:v>
      </x:c>
      <x:c r="I21" s="28" t="n">
        <x:v>0</x:v>
      </x:c>
      <x:c r="J21" s="28" t="n">
        <x:v>-33.500000000000014</x:v>
      </x:c>
      <x:c r="K21" s="27"/>
      <x:c r="L21" s="31" t="str">
        <x:v>ADP NOT LOADED</x:v>
      </x:c>
      <x:c r="M21" s="26" t="str">
        <x:v>Projection-only v1.0</x:v>
      </x:c>
    </x:row>
    <x:row r="22">
      <x:c r="A22" s="26" t="n">
        <x:v>18</x:v>
      </x:c>
      <x:c r="B22" s="26" t="n">
        <x:v>4</x:v>
      </x:c>
      <x:c r="C22" s="26" t="n">
        <x:v>18</x:v>
      </x:c>
      <x:c r="D22" s="26" t="str">
        <x:v>George Kittle</x:v>
      </x:c>
      <x:c r="E22" s="26" t="str">
        <x:v>SF</x:v>
      </x:c>
      <x:c r="F22" s="26" t="str">
        <x:v>TE</x:v>
      </x:c>
      <x:c r="G22" s="28" t="n">
        <x:v>113.6</x:v>
      </x:c>
      <x:c r="H22" s="28" t="n">
        <x:v>-29.700000000000017</x:v>
      </x:c>
      <x:c r="I22" s="28" t="n">
        <x:v>0</x:v>
      </x:c>
      <x:c r="J22" s="28" t="n">
        <x:v>-29.700000000000017</x:v>
      </x:c>
      <x:c r="K22" s="27"/>
      <x:c r="L22" s="31" t="str">
        <x:v>ADP NOT LOADED</x:v>
      </x:c>
      <x:c r="M22" s="26" t="str">
        <x:v>Projection-only v1.0</x:v>
      </x:c>
    </x:row>
    <x:row r="23">
      <x:c r="A23" s="26" t="n">
        <x:v>19</x:v>
      </x:c>
      <x:c r="B23" s="26" t="n">
        <x:v>4</x:v>
      </x:c>
      <x:c r="C23" s="26" t="n">
        <x:v>19</x:v>
      </x:c>
      <x:c r="D23" s="26" t="str">
        <x:v>AJ Barner</x:v>
      </x:c>
      <x:c r="E23" s="26" t="str">
        <x:v>SEA</x:v>
      </x:c>
      <x:c r="F23" s="26" t="str">
        <x:v>TE</x:v>
      </x:c>
      <x:c r="G23" s="28" t="n">
        <x:v>110.8</x:v>
      </x:c>
      <x:c r="H23" s="28" t="n">
        <x:v>-32.500000000000014</x:v>
      </x:c>
      <x:c r="I23" s="28" t="n">
        <x:v>0</x:v>
      </x:c>
      <x:c r="J23" s="28" t="n">
        <x:v>-32.500000000000014</x:v>
      </x:c>
      <x:c r="K23" s="27"/>
      <x:c r="L23" s="31" t="str">
        <x:v>ADP NOT LOADED</x:v>
      </x:c>
      <x:c r="M23" s="26" t="str">
        <x:v>Projection-only v1.0</x:v>
      </x:c>
    </x:row>
    <x:row r="24">
      <x:c r="A24" s="26" t="n">
        <x:v>20</x:v>
      </x:c>
      <x:c r="B24" s="26" t="n">
        <x:v>4</x:v>
      </x:c>
      <x:c r="C24" s="26" t="n">
        <x:v>20</x:v>
      </x:c>
      <x:c r="D24" s="26" t="str">
        <x:v>Juwan Johnson</x:v>
      </x:c>
      <x:c r="E24" s="26" t="str">
        <x:v>NO</x:v>
      </x:c>
      <x:c r="F24" s="26" t="str">
        <x:v>TE</x:v>
      </x:c>
      <x:c r="G24" s="28" t="n">
        <x:v>106.3</x:v>
      </x:c>
      <x:c r="H24" s="28" t="n">
        <x:v>-37.000000000000014</x:v>
      </x:c>
      <x:c r="I24" s="28" t="n">
        <x:v>0</x:v>
      </x:c>
      <x:c r="J24" s="28" t="n">
        <x:v>-37.000000000000014</x:v>
      </x:c>
      <x:c r="K24" s="27"/>
      <x:c r="L24" s="31" t="str">
        <x:v>ADP NOT LOADED</x:v>
      </x:c>
      <x:c r="M24" s="26" t="str">
        <x:v>Projection-only v1.0</x:v>
      </x:c>
    </x:row>
    <x:row r="25">
      <x:c r="A25" s="26" t="n">
        <x:v>21</x:v>
      </x:c>
      <x:c r="B25" s="26" t="n">
        <x:v>4</x:v>
      </x:c>
      <x:c r="C25" s="26" t="n">
        <x:v>21</x:v>
      </x:c>
      <x:c r="D25" s="26" t="str">
        <x:v>Cade Otton</x:v>
      </x:c>
      <x:c r="E25" s="26" t="str">
        <x:v>TB</x:v>
      </x:c>
      <x:c r="F25" s="26" t="str">
        <x:v>TE</x:v>
      </x:c>
      <x:c r="G25" s="28" t="n">
        <x:v>102.9</x:v>
      </x:c>
      <x:c r="H25" s="28" t="n">
        <x:v>-40.400000000000006</x:v>
      </x:c>
      <x:c r="I25" s="28" t="n">
        <x:v>0</x:v>
      </x:c>
      <x:c r="J25" s="28" t="n">
        <x:v>-40.400000000000006</x:v>
      </x:c>
      <x:c r="K25" s="27"/>
      <x:c r="L25" s="31" t="str">
        <x:v>ADP NOT LOADED</x:v>
      </x:c>
      <x:c r="M25" s="26" t="str">
        <x:v>Projection-only v1.0</x:v>
      </x:c>
    </x:row>
    <x:row r="26">
      <x:c r="A26" s="26" t="n">
        <x:v>22</x:v>
      </x:c>
      <x:c r="B26" s="26" t="n">
        <x:v>4</x:v>
      </x:c>
      <x:c r="C26" s="26" t="n">
        <x:v>22</x:v>
      </x:c>
      <x:c r="D26" s="26" t="str">
        <x:v>T.J. Hockenson</x:v>
      </x:c>
      <x:c r="E26" s="26" t="str">
        <x:v>MIN</x:v>
      </x:c>
      <x:c r="F26" s="26" t="str">
        <x:v>TE</x:v>
      </x:c>
      <x:c r="G26" s="28" t="n">
        <x:v>99.9</x:v>
      </x:c>
      <x:c r="H26" s="28" t="n">
        <x:v>-43.400000000000006</x:v>
      </x:c>
      <x:c r="I26" s="28" t="n">
        <x:v>0</x:v>
      </x:c>
      <x:c r="J26" s="28" t="n">
        <x:v>-43.400000000000006</x:v>
      </x:c>
      <x:c r="K26" s="27"/>
      <x:c r="L26" s="31" t="str">
        <x:v>ADP NOT LOADED</x:v>
      </x:c>
      <x:c r="M26" s="26" t="str">
        <x:v>Projection-only v1.0</x:v>
      </x:c>
    </x:row>
    <x:row r="27">
      <x:c r="A27" s="26" t="n">
        <x:v>23</x:v>
      </x:c>
      <x:c r="B27" s="26" t="n">
        <x:v>4</x:v>
      </x:c>
      <x:c r="C27" s="26" t="n">
        <x:v>23</x:v>
      </x:c>
      <x:c r="D27" s="26" t="str">
        <x:v>Pat Freiermuth</x:v>
      </x:c>
      <x:c r="E27" s="26" t="str">
        <x:v>PIT</x:v>
      </x:c>
      <x:c r="F27" s="26" t="str">
        <x:v>TE</x:v>
      </x:c>
      <x:c r="G27" s="28" t="n">
        <x:v>99.5</x:v>
      </x:c>
      <x:c r="H27" s="28" t="n">
        <x:v>-43.80000000000001</x:v>
      </x:c>
      <x:c r="I27" s="28" t="n">
        <x:v>0</x:v>
      </x:c>
      <x:c r="J27" s="28" t="n">
        <x:v>-43.80000000000001</x:v>
      </x:c>
      <x:c r="K27" s="27"/>
      <x:c r="L27" s="31" t="str">
        <x:v>ADP NOT LOADED</x:v>
      </x:c>
      <x:c r="M27" s="26" t="str">
        <x:v>Projection-only v1.0</x:v>
      </x:c>
    </x:row>
    <x:row r="28">
      <x:c r="A28" s="26" t="n">
        <x:v>24</x:v>
      </x:c>
      <x:c r="B28" s="26" t="n">
        <x:v>4</x:v>
      </x:c>
      <x:c r="C28" s="26" t="n">
        <x:v>24</x:v>
      </x:c>
      <x:c r="D28" s="26" t="str">
        <x:v>Oronde Gadsden</x:v>
      </x:c>
      <x:c r="E28" s="26" t="str">
        <x:v>LAC</x:v>
      </x:c>
      <x:c r="F28" s="26" t="str">
        <x:v>TE</x:v>
      </x:c>
      <x:c r="G28" s="28" t="n">
        <x:v>99.3</x:v>
      </x:c>
      <x:c r="H28" s="28" t="n">
        <x:v>-44.000000000000014</x:v>
      </x:c>
      <x:c r="I28" s="28" t="n">
        <x:v>0</x:v>
      </x:c>
      <x:c r="J28" s="28" t="n">
        <x:v>-44.000000000000014</x:v>
      </x:c>
      <x:c r="K28" s="27"/>
      <x:c r="L28" s="31" t="str">
        <x:v>ADP NOT LOADED</x:v>
      </x:c>
      <x:c r="M28" s="26" t="str">
        <x:v>Projection-only v1.0</x:v>
      </x:c>
    </x:row>
    <x:row r="29">
      <x:c r="A29" s="26" t="n">
        <x:v>25</x:v>
      </x:c>
      <x:c r="B29" s="26" t="n">
        <x:v>5</x:v>
      </x:c>
      <x:c r="C29" s="26" t="n">
        <x:v>25</x:v>
      </x:c>
      <x:c r="D29" s="26" t="str">
        <x:v>Chig Okonkwo</x:v>
      </x:c>
      <x:c r="E29" s="26" t="str">
        <x:v>WAS</x:v>
      </x:c>
      <x:c r="F29" s="26" t="str">
        <x:v>TE</x:v>
      </x:c>
      <x:c r="G29" s="28" t="n">
        <x:v>97.2</x:v>
      </x:c>
      <x:c r="H29" s="28" t="n">
        <x:v>-46.10000000000001</x:v>
      </x:c>
      <x:c r="I29" s="28" t="n">
        <x:v>0</x:v>
      </x:c>
      <x:c r="J29" s="28" t="n">
        <x:v>-46.10000000000001</x:v>
      </x:c>
      <x:c r="K29" s="27"/>
      <x:c r="L29" s="31" t="str">
        <x:v>ADP NOT LOADED</x:v>
      </x:c>
      <x:c r="M29" s="26" t="str">
        <x:v>Projection-only v1.0</x:v>
      </x:c>
    </x:row>
    <x:row r="30">
      <x:c r="A30" s="26" t="n">
        <x:v>26</x:v>
      </x:c>
      <x:c r="B30" s="26" t="n">
        <x:v>5</x:v>
      </x:c>
      <x:c r="C30" s="26" t="n">
        <x:v>26</x:v>
      </x:c>
      <x:c r="D30" s="26" t="str">
        <x:v>Greg Dulcich</x:v>
      </x:c>
      <x:c r="E30" s="26" t="str">
        <x:v>MIA</x:v>
      </x:c>
      <x:c r="F30" s="26" t="str">
        <x:v>TE</x:v>
      </x:c>
      <x:c r="G30" s="28" t="n">
        <x:v>93.6</x:v>
      </x:c>
      <x:c r="H30" s="28" t="n">
        <x:v>-49.70000000000002</x:v>
      </x:c>
      <x:c r="I30" s="28" t="n">
        <x:v>0</x:v>
      </x:c>
      <x:c r="J30" s="28" t="n">
        <x:v>-49.70000000000002</x:v>
      </x:c>
      <x:c r="K30" s="27"/>
      <x:c r="L30" s="31" t="str">
        <x:v>ADP NOT LOADED</x:v>
      </x:c>
      <x:c r="M30" s="26" t="str">
        <x:v>Projection-only v1.0</x:v>
      </x:c>
    </x:row>
    <x:row r="31">
      <x:c r="A31" s="26" t="n">
        <x:v>27</x:v>
      </x:c>
      <x:c r="B31" s="26" t="n">
        <x:v>5</x:v>
      </x:c>
      <x:c r="C31" s="26" t="n">
        <x:v>27</x:v>
      </x:c>
      <x:c r="D31" s="26" t="str">
        <x:v>Mike Gesicki</x:v>
      </x:c>
      <x:c r="E31" s="26" t="str">
        <x:v>CIN</x:v>
      </x:c>
      <x:c r="F31" s="26" t="str">
        <x:v>TE</x:v>
      </x:c>
      <x:c r="G31" s="28" t="n">
        <x:v>89.7</x:v>
      </x:c>
      <x:c r="H31" s="28" t="n">
        <x:v>-53.60000000000001</x:v>
      </x:c>
      <x:c r="I31" s="28" t="n">
        <x:v>0</x:v>
      </x:c>
      <x:c r="J31" s="28" t="n">
        <x:v>-53.60000000000001</x:v>
      </x:c>
      <x:c r="K31" s="27"/>
      <x:c r="L31" s="31" t="str">
        <x:v>ADP NOT LOADED</x:v>
      </x:c>
      <x:c r="M31" s="26" t="str">
        <x:v>Projection-only v1.0</x:v>
      </x:c>
    </x:row>
    <x:row r="32">
      <x:c r="A32" s="26" t="n">
        <x:v>28</x:v>
      </x:c>
      <x:c r="B32" s="26" t="n">
        <x:v>5</x:v>
      </x:c>
      <x:c r="C32" s="26" t="n">
        <x:v>28</x:v>
      </x:c>
      <x:c r="D32" s="26" t="str">
        <x:v>Kenyon Sadiq</x:v>
      </x:c>
      <x:c r="E32" s="26" t="str">
        <x:v>NYJ</x:v>
      </x:c>
      <x:c r="F32" s="26" t="str">
        <x:v>TE</x:v>
      </x:c>
      <x:c r="G32" s="28" t="n">
        <x:v>89.8</x:v>
      </x:c>
      <x:c r="H32" s="28" t="n">
        <x:v>-53.500000000000014</x:v>
      </x:c>
      <x:c r="I32" s="28" t="n">
        <x:v>0</x:v>
      </x:c>
      <x:c r="J32" s="28" t="n">
        <x:v>-53.500000000000014</x:v>
      </x:c>
      <x:c r="K32" s="27"/>
      <x:c r="L32" s="31" t="str">
        <x:v>ADP NOT LOADED</x:v>
      </x:c>
      <x:c r="M32" s="26" t="str">
        <x:v>Projection-only v1.0</x:v>
      </x:c>
    </x:row>
    <x:row r="33">
      <x:c r="A33" s="26" t="n">
        <x:v>29</x:v>
      </x:c>
      <x:c r="B33" s="26" t="n">
        <x:v>5</x:v>
      </x:c>
      <x:c r="C33" s="26" t="n">
        <x:v>29</x:v>
      </x:c>
      <x:c r="D33" s="26" t="str">
        <x:v>Evan Engram</x:v>
      </x:c>
      <x:c r="E33" s="26" t="str">
        <x:v>DEN</x:v>
      </x:c>
      <x:c r="F33" s="26" t="str">
        <x:v>TE</x:v>
      </x:c>
      <x:c r="G33" s="28" t="n">
        <x:v>79.6</x:v>
      </x:c>
      <x:c r="H33" s="28" t="n">
        <x:v>-63.70000000000002</x:v>
      </x:c>
      <x:c r="I33" s="28" t="n">
        <x:v>0</x:v>
      </x:c>
      <x:c r="J33" s="28" t="n">
        <x:v>-63.70000000000002</x:v>
      </x:c>
      <x:c r="K33" s="27"/>
      <x:c r="L33" s="31" t="str">
        <x:v>ADP NOT LOADED</x:v>
      </x:c>
      <x:c r="M33" s="26" t="str">
        <x:v>Projection-only v1.0</x:v>
      </x:c>
    </x:row>
    <x:row r="34">
      <x:c r="A34" s="26" t="n">
        <x:v>30</x:v>
      </x:c>
      <x:c r="B34" s="26" t="n">
        <x:v>5</x:v>
      </x:c>
      <x:c r="C34" s="26" t="n">
        <x:v>30</x:v>
      </x:c>
      <x:c r="D34" s="26" t="str">
        <x:v>Terrance Ferguson</x:v>
      </x:c>
      <x:c r="E34" s="26" t="str">
        <x:v>LAR</x:v>
      </x:c>
      <x:c r="F34" s="26" t="str">
        <x:v>TE</x:v>
      </x:c>
      <x:c r="G34" s="28" t="n">
        <x:v>83.8</x:v>
      </x:c>
      <x:c r="H34" s="28" t="n">
        <x:v>-59.500000000000014</x:v>
      </x:c>
      <x:c r="I34" s="28" t="n">
        <x:v>0</x:v>
      </x:c>
      <x:c r="J34" s="28" t="n">
        <x:v>-59.500000000000014</x:v>
      </x:c>
      <x:c r="K34" s="27"/>
      <x:c r="L34" s="31" t="str">
        <x:v>ADP NOT LOADED</x:v>
      </x:c>
      <x:c r="M34" s="26" t="str">
        <x:v>Projection-only v1.0</x:v>
      </x:c>
    </x:row>
    <x:row r="35">
      <x:c r="A35" s="26" t="n">
        <x:v>31</x:v>
      </x:c>
      <x:c r="B35" s="26" t="n">
        <x:v>5</x:v>
      </x:c>
      <x:c r="C35" s="26" t="n">
        <x:v>31</x:v>
      </x:c>
      <x:c r="D35" s="26" t="str">
        <x:v>David Njoku</x:v>
      </x:c>
      <x:c r="E35" s="26" t="str">
        <x:v>LAC</x:v>
      </x:c>
      <x:c r="F35" s="26" t="str">
        <x:v>TE</x:v>
      </x:c>
      <x:c r="G35" s="28" t="n">
        <x:v>76.7</x:v>
      </x:c>
      <x:c r="H35" s="28" t="n">
        <x:v>-66.60000000000001</x:v>
      </x:c>
      <x:c r="I35" s="28" t="n">
        <x:v>0</x:v>
      </x:c>
      <x:c r="J35" s="28" t="n">
        <x:v>-66.60000000000001</x:v>
      </x:c>
      <x:c r="K35" s="27"/>
      <x:c r="L35" s="31" t="str">
        <x:v>ADP NOT LOADED</x:v>
      </x:c>
      <x:c r="M35" s="26" t="str">
        <x:v>Projection-only v1.0</x:v>
      </x:c>
    </x:row>
    <x:row r="36">
      <x:c r="A36" s="26" t="n">
        <x:v>32</x:v>
      </x:c>
      <x:c r="B36" s="26" t="n">
        <x:v>5</x:v>
      </x:c>
      <x:c r="C36" s="26" t="n">
        <x:v>32</x:v>
      </x:c>
      <x:c r="D36" s="26" t="str">
        <x:v>Gunnar Helm</x:v>
      </x:c>
      <x:c r="E36" s="26" t="str">
        <x:v>TEN</x:v>
      </x:c>
      <x:c r="F36" s="26" t="str">
        <x:v>TE</x:v>
      </x:c>
      <x:c r="G36" s="28" t="n">
        <x:v>65.2</x:v>
      </x:c>
      <x:c r="H36" s="28" t="n">
        <x:v>-78.10000000000001</x:v>
      </x:c>
      <x:c r="I36" s="28" t="n">
        <x:v>0</x:v>
      </x:c>
      <x:c r="J36" s="28" t="n">
        <x:v>-78.10000000000001</x:v>
      </x:c>
      <x:c r="K36" s="27"/>
      <x:c r="L36" s="31" t="str">
        <x:v>ADP NOT LOADED</x:v>
      </x:c>
      <x:c r="M36" s="26" t="str">
        <x:v>Projection-only v1.0</x:v>
      </x:c>
    </x:row>
    <x:row r="37">
      <x:c r="A37" s="26" t="n">
        <x:v>33</x:v>
      </x:c>
      <x:c r="B37" s="26" t="n">
        <x:v>5</x:v>
      </x:c>
      <x:c r="C37" s="26" t="n">
        <x:v>33</x:v>
      </x:c>
      <x:c r="D37" s="26" t="str">
        <x:v>Darnell Washington</x:v>
      </x:c>
      <x:c r="E37" s="26" t="str">
        <x:v>PIT</x:v>
      </x:c>
      <x:c r="F37" s="26" t="str">
        <x:v>TE</x:v>
      </x:c>
      <x:c r="G37" s="28" t="n">
        <x:v>62.1</x:v>
      </x:c>
      <x:c r="H37" s="28" t="n">
        <x:v>-81.20000000000002</x:v>
      </x:c>
      <x:c r="I37" s="28" t="n">
        <x:v>0</x:v>
      </x:c>
      <x:c r="J37" s="28" t="n">
        <x:v>-81.20000000000002</x:v>
      </x:c>
      <x:c r="K37" s="27"/>
      <x:c r="L37" s="31" t="str">
        <x:v>ADP NOT LOADED</x:v>
      </x:c>
      <x:c r="M37" s="26" t="str">
        <x:v>Projection-only v1.0</x:v>
      </x:c>
    </x:row>
    <x:row r="38">
      <x:c r="A38" s="26" t="n">
        <x:v>34</x:v>
      </x:c>
      <x:c r="B38" s="26" t="n">
        <x:v>5</x:v>
      </x:c>
      <x:c r="C38" s="26" t="n">
        <x:v>34</x:v>
      </x:c>
      <x:c r="D38" s="26" t="str">
        <x:v>Mason Taylor</x:v>
      </x:c>
      <x:c r="E38" s="26" t="str">
        <x:v>NYJ</x:v>
      </x:c>
      <x:c r="F38" s="26" t="str">
        <x:v>TE</x:v>
      </x:c>
      <x:c r="G38" s="28" t="n">
        <x:v>58.3</x:v>
      </x:c>
      <x:c r="H38" s="28" t="n">
        <x:v>-85.00000000000001</x:v>
      </x:c>
      <x:c r="I38" s="28" t="n">
        <x:v>0</x:v>
      </x:c>
      <x:c r="J38" s="28" t="n">
        <x:v>-85.00000000000001</x:v>
      </x:c>
      <x:c r="K38" s="27"/>
      <x:c r="L38" s="31" t="str">
        <x:v>ADP NOT LOADED</x:v>
      </x:c>
      <x:c r="M38" s="26" t="str">
        <x:v>Projection-only v1.0</x:v>
      </x:c>
    </x:row>
    <x:row r="39">
      <x:c r="A39" s="26" t="n">
        <x:v>35</x:v>
      </x:c>
      <x:c r="B39" s="26" t="n">
        <x:v>5</x:v>
      </x:c>
      <x:c r="C39" s="26" t="n">
        <x:v>35</x:v>
      </x:c>
      <x:c r="D39" s="26" t="str">
        <x:v>Dawson Knox</x:v>
      </x:c>
      <x:c r="E39" s="26" t="str">
        <x:v>BUF</x:v>
      </x:c>
      <x:c r="F39" s="26" t="str">
        <x:v>TE</x:v>
      </x:c>
      <x:c r="G39" s="28" t="n">
        <x:v>58.5</x:v>
      </x:c>
      <x:c r="H39" s="28" t="n">
        <x:v>-84.80000000000001</x:v>
      </x:c>
      <x:c r="I39" s="28" t="n">
        <x:v>0</x:v>
      </x:c>
      <x:c r="J39" s="28" t="n">
        <x:v>-84.80000000000001</x:v>
      </x:c>
      <x:c r="K39" s="27"/>
      <x:c r="L39" s="31" t="str">
        <x:v>ADP NOT LOADED</x:v>
      </x:c>
      <x:c r="M39" s="26" t="str">
        <x:v>Projection-only v1.0</x:v>
      </x:c>
    </x:row>
    <x:row r="40">
      <x:c r="A40" s="26" t="n">
        <x:v>36</x:v>
      </x:c>
      <x:c r="B40" s="26" t="n">
        <x:v>5</x:v>
      </x:c>
      <x:c r="C40" s="26" t="n">
        <x:v>36</x:v>
      </x:c>
      <x:c r="D40" s="26" t="str">
        <x:v>Colby Parkinson</x:v>
      </x:c>
      <x:c r="E40" s="26" t="str">
        <x:v>LAR</x:v>
      </x:c>
      <x:c r="F40" s="26" t="str">
        <x:v>TE</x:v>
      </x:c>
      <x:c r="G40" s="28" t="n">
        <x:v>57.6</x:v>
      </x:c>
      <x:c r="H40" s="28" t="n">
        <x:v>-85.70000000000002</x:v>
      </x:c>
      <x:c r="I40" s="28" t="n">
        <x:v>0</x:v>
      </x:c>
      <x:c r="J40" s="28" t="n">
        <x:v>-85.70000000000002</x:v>
      </x:c>
      <x:c r="K40" s="27"/>
      <x:c r="L40" s="31" t="str">
        <x:v>ADP NOT LOADED</x:v>
      </x:c>
      <x:c r="M40" s="26" t="str">
        <x:v>Projection-only v1.0</x:v>
      </x:c>
    </x:row>
    <x:row r="41">
      <x:c r="A41" s="26" t="n">
        <x:v>37</x:v>
      </x:c>
      <x:c r="B41" s="26" t="n">
        <x:v>5</x:v>
      </x:c>
      <x:c r="C41" s="26" t="n">
        <x:v>37</x:v>
      </x:c>
      <x:c r="D41" s="26" t="str">
        <x:v>Jake Tonges</x:v>
      </x:c>
      <x:c r="E41" s="26" t="str">
        <x:v>SF</x:v>
      </x:c>
      <x:c r="F41" s="26" t="str">
        <x:v>TE</x:v>
      </x:c>
      <x:c r="G41" s="28" t="n">
        <x:v>49.4</x:v>
      </x:c>
      <x:c r="H41" s="28" t="n">
        <x:v>-93.9</x:v>
      </x:c>
      <x:c r="I41" s="28" t="n">
        <x:v>0</x:v>
      </x:c>
      <x:c r="J41" s="28" t="n">
        <x:v>-93.9</x:v>
      </x:c>
      <x:c r="K41" s="27"/>
      <x:c r="L41" s="31" t="str">
        <x:v>ADP NOT LOADED</x:v>
      </x:c>
      <x:c r="M41" s="26" t="str">
        <x:v>Projection-only v1.0</x:v>
      </x:c>
    </x:row>
    <x:row r="42">
      <x:c r="A42" s="26" t="n">
        <x:v>38</x:v>
      </x:c>
      <x:c r="B42" s="26" t="n">
        <x:v>5</x:v>
      </x:c>
      <x:c r="C42" s="26" t="n">
        <x:v>38</x:v>
      </x:c>
      <x:c r="D42" s="26" t="str">
        <x:v>Tyler Higbee</x:v>
      </x:c>
      <x:c r="E42" s="26" t="str">
        <x:v>LAR</x:v>
      </x:c>
      <x:c r="F42" s="26" t="str">
        <x:v>TE</x:v>
      </x:c>
      <x:c r="G42" s="28" t="n">
        <x:v>49.6</x:v>
      </x:c>
      <x:c r="H42" s="28" t="n">
        <x:v>-93.70000000000002</x:v>
      </x:c>
      <x:c r="I42" s="28" t="n">
        <x:v>0</x:v>
      </x:c>
      <x:c r="J42" s="28" t="n">
        <x:v>-93.70000000000002</x:v>
      </x:c>
      <x:c r="K42" s="27"/>
      <x:c r="L42" s="31" t="str">
        <x:v>ADP NOT LOADED</x:v>
      </x:c>
      <x:c r="M42" s="26" t="str">
        <x:v>Projection-only v1.0</x:v>
      </x:c>
    </x:row>
    <x:row r="43">
      <x:c r="A43" s="26" t="n">
        <x:v>39</x:v>
      </x:c>
      <x:c r="B43" s="26" t="n">
        <x:v>5</x:v>
      </x:c>
      <x:c r="C43" s="26" t="n">
        <x:v>39</x:v>
      </x:c>
      <x:c r="D43" s="26" t="str">
        <x:v>Noah Fant</x:v>
      </x:c>
      <x:c r="E43" s="26" t="str">
        <x:v>NO</x:v>
      </x:c>
      <x:c r="F43" s="26" t="str">
        <x:v>TE</x:v>
      </x:c>
      <x:c r="G43" s="28" t="n">
        <x:v>42.4</x:v>
      </x:c>
      <x:c r="H43" s="28" t="n">
        <x:v>-100.9</x:v>
      </x:c>
      <x:c r="I43" s="28" t="n">
        <x:v>0</x:v>
      </x:c>
      <x:c r="J43" s="28" t="n">
        <x:v>-100.9</x:v>
      </x:c>
      <x:c r="K43" s="27"/>
      <x:c r="L43" s="31" t="str">
        <x:v>ADP NOT LOADED</x:v>
      </x:c>
      <x:c r="M43" s="26" t="str">
        <x:v>Projection-only v1.0</x:v>
      </x:c>
    </x:row>
    <x:row r="44">
      <x:c r="A44" s="26" t="n">
        <x:v>40</x:v>
      </x:c>
      <x:c r="B44" s="26" t="n">
        <x:v>5</x:v>
      </x:c>
      <x:c r="C44" s="26" t="n">
        <x:v>40</x:v>
      </x:c>
      <x:c r="D44" s="26" t="str">
        <x:v>Daniel Bellinger</x:v>
      </x:c>
      <x:c r="E44" s="26" t="str">
        <x:v>TEN</x:v>
      </x:c>
      <x:c r="F44" s="26" t="str">
        <x:v>TE</x:v>
      </x:c>
      <x:c r="G44" s="28" t="n">
        <x:v>42</x:v>
      </x:c>
      <x:c r="H44" s="28" t="n">
        <x:v>-101.30000000000001</x:v>
      </x:c>
      <x:c r="I44" s="28" t="n">
        <x:v>0</x:v>
      </x:c>
      <x:c r="J44" s="28" t="n">
        <x:v>-101.30000000000001</x:v>
      </x:c>
      <x:c r="K44" s="27"/>
      <x:c r="L44" s="31" t="str">
        <x:v>ADP NOT LOADED</x:v>
      </x:c>
      <x:c r="M44" s="26" t="str">
        <x:v>Projection-only v1.0</x:v>
      </x:c>
    </x:row>
    <x:row r="45">
      <x:c r="A45" s="26" t="n">
        <x:v>41</x:v>
      </x:c>
      <x:c r="B45" s="26" t="n">
        <x:v>5</x:v>
      </x:c>
      <x:c r="C45" s="26" t="n">
        <x:v>41</x:v>
      </x:c>
      <x:c r="D45" s="26" t="str">
        <x:v>Tommy Tremble</x:v>
      </x:c>
      <x:c r="E45" s="26" t="str">
        <x:v>CAR</x:v>
      </x:c>
      <x:c r="F45" s="26" t="str">
        <x:v>TE</x:v>
      </x:c>
      <x:c r="G45" s="28" t="n">
        <x:v>37.7</x:v>
      </x:c>
      <x:c r="H45" s="28" t="n">
        <x:v>-105.60000000000001</x:v>
      </x:c>
      <x:c r="I45" s="28" t="n">
        <x:v>0</x:v>
      </x:c>
      <x:c r="J45" s="28" t="n">
        <x:v>-105.60000000000001</x:v>
      </x:c>
      <x:c r="K45" s="27"/>
      <x:c r="L45" s="31" t="str">
        <x:v>ADP NOT LOADED</x:v>
      </x:c>
      <x:c r="M45" s="26" t="str">
        <x:v>Projection-only v1.0</x:v>
      </x:c>
    </x:row>
    <x:row r="46">
      <x:c r="A46" s="26" t="n">
        <x:v>42</x:v>
      </x:c>
      <x:c r="B46" s="26" t="n">
        <x:v>5</x:v>
      </x:c>
      <x:c r="C46" s="26" t="n">
        <x:v>42</x:v>
      </x:c>
      <x:c r="D46" s="26" t="str">
        <x:v>Josh Oliver</x:v>
      </x:c>
      <x:c r="E46" s="26" t="str">
        <x:v>MIN</x:v>
      </x:c>
      <x:c r="F46" s="26" t="str">
        <x:v>TE</x:v>
      </x:c>
      <x:c r="G46" s="28" t="n">
        <x:v>37.9</x:v>
      </x:c>
      <x:c r="H46" s="28" t="n">
        <x:v>-105.4</x:v>
      </x:c>
      <x:c r="I46" s="28" t="n">
        <x:v>0</x:v>
      </x:c>
      <x:c r="J46" s="28" t="n">
        <x:v>-105.4</x:v>
      </x:c>
      <x:c r="K46" s="27"/>
      <x:c r="L46" s="31" t="str">
        <x:v>ADP NOT LOADED</x:v>
      </x:c>
      <x:c r="M46" s="26" t="str">
        <x:v>Projection-only v1.0</x:v>
      </x:c>
    </x:row>
    <x:row r="47">
      <x:c r="A47" s="26" t="n">
        <x:v>43</x:v>
      </x:c>
      <x:c r="B47" s="26" t="n">
        <x:v>5</x:v>
      </x:c>
      <x:c r="C47" s="26" t="n">
        <x:v>43</x:v>
      </x:c>
      <x:c r="D47" s="26" t="str">
        <x:v>Ja'Tavion Sanders</x:v>
      </x:c>
      <x:c r="E47" s="26" t="str">
        <x:v>CAR</x:v>
      </x:c>
      <x:c r="F47" s="26" t="str">
        <x:v>TE</x:v>
      </x:c>
      <x:c r="G47" s="28" t="n">
        <x:v>35.7</x:v>
      </x:c>
      <x:c r="H47" s="28" t="n">
        <x:v>-107.60000000000001</x:v>
      </x:c>
      <x:c r="I47" s="28" t="n">
        <x:v>0</x:v>
      </x:c>
      <x:c r="J47" s="28" t="n">
        <x:v>-107.60000000000001</x:v>
      </x:c>
      <x:c r="K47" s="27"/>
      <x:c r="L47" s="31" t="str">
        <x:v>ADP NOT LOADED</x:v>
      </x:c>
      <x:c r="M47" s="26" t="str">
        <x:v>Projection-only v1.0</x:v>
      </x:c>
    </x:row>
    <x:row r="48">
      <x:c r="A48" s="26" t="n">
        <x:v>44</x:v>
      </x:c>
      <x:c r="B48" s="26" t="n">
        <x:v>5</x:v>
      </x:c>
      <x:c r="C48" s="26" t="n">
        <x:v>44</x:v>
      </x:c>
      <x:c r="D48" s="26" t="str">
        <x:v>Noah Gray</x:v>
      </x:c>
      <x:c r="E48" s="26" t="str">
        <x:v>KC</x:v>
      </x:c>
      <x:c r="F48" s="26" t="str">
        <x:v>TE</x:v>
      </x:c>
      <x:c r="G48" s="28" t="n">
        <x:v>36.1</x:v>
      </x:c>
      <x:c r="H48" s="28" t="n">
        <x:v>-107.20000000000002</x:v>
      </x:c>
      <x:c r="I48" s="28" t="n">
        <x:v>0</x:v>
      </x:c>
      <x:c r="J48" s="28" t="n">
        <x:v>-107.20000000000002</x:v>
      </x:c>
      <x:c r="K48" s="27"/>
      <x:c r="L48" s="31" t="str">
        <x:v>ADP NOT LOADED</x:v>
      </x:c>
      <x:c r="M48" s="26" t="str">
        <x:v>Projection-only v1.0</x:v>
      </x:c>
    </x:row>
    <x:row r="49">
      <x:c r="A49" s="26" t="n">
        <x:v>45</x:v>
      </x:c>
      <x:c r="B49" s="26" t="n">
        <x:v>5</x:v>
      </x:c>
      <x:c r="C49" s="26" t="n">
        <x:v>45</x:v>
      </x:c>
      <x:c r="D49" s="26" t="str">
        <x:v>Elijah Arroyo</x:v>
      </x:c>
      <x:c r="E49" s="26" t="str">
        <x:v>SEA</x:v>
      </x:c>
      <x:c r="F49" s="26" t="str">
        <x:v>TE</x:v>
      </x:c>
      <x:c r="G49" s="28" t="n">
        <x:v>33.9</x:v>
      </x:c>
      <x:c r="H49" s="28" t="n">
        <x:v>-109.4</x:v>
      </x:c>
      <x:c r="I49" s="28" t="n">
        <x:v>0</x:v>
      </x:c>
      <x:c r="J49" s="28" t="n">
        <x:v>-109.4</x:v>
      </x:c>
      <x:c r="K49" s="27"/>
      <x:c r="L49" s="31" t="str">
        <x:v>ADP NOT LOADED</x:v>
      </x:c>
      <x:c r="M49" s="26" t="str">
        <x:v>Projection-only v1.0</x:v>
      </x:c>
    </x:row>
    <x:row r="50">
      <x:c r="A50" s="26" t="n">
        <x:v>46</x:v>
      </x:c>
      <x:c r="B50" s="26" t="n">
        <x:v>5</x:v>
      </x:c>
      <x:c r="C50" s="26" t="n">
        <x:v>46</x:v>
      </x:c>
      <x:c r="D50" s="26" t="str">
        <x:v>Austin Hooper</x:v>
      </x:c>
      <x:c r="E50" s="26" t="str">
        <x:v>ATL</x:v>
      </x:c>
      <x:c r="F50" s="26" t="str">
        <x:v>TE</x:v>
      </x:c>
      <x:c r="G50" s="28" t="n">
        <x:v>32.6</x:v>
      </x:c>
      <x:c r="H50" s="28" t="n">
        <x:v>-110.70000000000002</x:v>
      </x:c>
      <x:c r="I50" s="28" t="n">
        <x:v>0</x:v>
      </x:c>
      <x:c r="J50" s="28" t="n">
        <x:v>-110.70000000000002</x:v>
      </x:c>
      <x:c r="K50" s="27"/>
      <x:c r="L50" s="31" t="str">
        <x:v>ADP NOT LOADED</x:v>
      </x:c>
      <x:c r="M50" s="26" t="str">
        <x:v>Projection-only v1.0</x:v>
      </x:c>
    </x:row>
    <x:row r="51">
      <x:c r="A51" s="26" t="n">
        <x:v>47</x:v>
      </x:c>
      <x:c r="B51" s="26" t="n">
        <x:v>5</x:v>
      </x:c>
      <x:c r="C51" s="26" t="n">
        <x:v>47</x:v>
      </x:c>
      <x:c r="D51" s="26" t="str">
        <x:v>Brock Wright</x:v>
      </x:c>
      <x:c r="E51" s="26" t="str">
        <x:v>DET</x:v>
      </x:c>
      <x:c r="F51" s="26" t="str">
        <x:v>TE</x:v>
      </x:c>
      <x:c r="G51" s="28" t="n">
        <x:v>30.9</x:v>
      </x:c>
      <x:c r="H51" s="28" t="n">
        <x:v>-112.4</x:v>
      </x:c>
      <x:c r="I51" s="28" t="n">
        <x:v>0</x:v>
      </x:c>
      <x:c r="J51" s="28" t="n">
        <x:v>-112.4</x:v>
      </x:c>
      <x:c r="K51" s="27"/>
      <x:c r="L51" s="31" t="str">
        <x:v>ADP NOT LOADED</x:v>
      </x:c>
      <x:c r="M51" s="26" t="str">
        <x:v>Projection-only v1.0</x:v>
      </x:c>
    </x:row>
    <x:row r="52">
      <x:c r="A52" s="26" t="n">
        <x:v>48</x:v>
      </x:c>
      <x:c r="B52" s="26" t="n">
        <x:v>5</x:v>
      </x:c>
      <x:c r="C52" s="26" t="n">
        <x:v>48</x:v>
      </x:c>
      <x:c r="D52" s="26" t="str">
        <x:v>Cole Kmet</x:v>
      </x:c>
      <x:c r="E52" s="26" t="str">
        <x:v>CHI</x:v>
      </x:c>
      <x:c r="F52" s="26" t="str">
        <x:v>TE</x:v>
      </x:c>
      <x:c r="G52" s="28" t="n">
        <x:v>29.9</x:v>
      </x:c>
      <x:c r="H52" s="28" t="n">
        <x:v>-113.4</x:v>
      </x:c>
      <x:c r="I52" s="28" t="n">
        <x:v>0</x:v>
      </x:c>
      <x:c r="J52" s="28" t="n">
        <x:v>-113.4</x:v>
      </x:c>
      <x:c r="K52" s="27"/>
      <x:c r="L52" s="31" t="str">
        <x:v>ADP NOT LOADED</x:v>
      </x:c>
      <x:c r="M52" s="26" t="str">
        <x:v>Projection-only v1.0</x:v>
      </x:c>
    </x:row>
    <x:row r="53">
      <x:c r="A53" s="26" t="n">
        <x:v>49</x:v>
      </x:c>
      <x:c r="B53" s="26" t="n">
        <x:v>5</x:v>
      </x:c>
      <x:c r="C53" s="26" t="n">
        <x:v>49</x:v>
      </x:c>
      <x:c r="D53" s="26" t="str">
        <x:v>Michael Mayer</x:v>
      </x:c>
      <x:c r="E53" s="26" t="str">
        <x:v>LV</x:v>
      </x:c>
      <x:c r="F53" s="26" t="str">
        <x:v>TE</x:v>
      </x:c>
      <x:c r="G53" s="28" t="n">
        <x:v>27.7</x:v>
      </x:c>
      <x:c r="H53" s="28" t="n">
        <x:v>-115.60000000000001</x:v>
      </x:c>
      <x:c r="I53" s="28" t="n">
        <x:v>0</x:v>
      </x:c>
      <x:c r="J53" s="28" t="n">
        <x:v>-115.60000000000001</x:v>
      </x:c>
      <x:c r="K53" s="27"/>
      <x:c r="L53" s="31" t="str">
        <x:v>ADP NOT LOADED</x:v>
      </x:c>
      <x:c r="M53" s="26" t="str">
        <x:v>Projection-only v1.0</x:v>
      </x:c>
    </x:row>
    <x:row r="54">
      <x:c r="A54" s="26" t="n">
        <x:v>50</x:v>
      </x:c>
      <x:c r="B54" s="26" t="n">
        <x:v>5</x:v>
      </x:c>
      <x:c r="C54" s="26" t="n">
        <x:v>50</x:v>
      </x:c>
      <x:c r="D54" s="26" t="str">
        <x:v>Marlin Klein</x:v>
      </x:c>
      <x:c r="E54" s="26" t="str">
        <x:v>HOU</x:v>
      </x:c>
      <x:c r="F54" s="26" t="str">
        <x:v>TE</x:v>
      </x:c>
      <x:c r="G54" s="28" t="n">
        <x:v>27.7</x:v>
      </x:c>
      <x:c r="H54" s="28" t="n">
        <x:v>-115.60000000000001</x:v>
      </x:c>
      <x:c r="I54" s="28" t="n">
        <x:v>0</x:v>
      </x:c>
      <x:c r="J54" s="28" t="n">
        <x:v>-115.60000000000001</x:v>
      </x:c>
      <x:c r="K54" s="27"/>
      <x:c r="L54" s="31" t="str">
        <x:v>ADP NOT LOADED</x:v>
      </x:c>
      <x:c r="M54" s="26" t="str">
        <x:v>Projection-only v1.0</x:v>
      </x:c>
    </x:row>
    <x:row r="55">
      <x:c r="A55" s="26" t="n">
        <x:v>51</x:v>
      </x:c>
      <x:c r="B55" s="26" t="n">
        <x:v>5</x:v>
      </x:c>
      <x:c r="C55" s="26" t="n">
        <x:v>51</x:v>
      </x:c>
      <x:c r="D55" s="26" t="str">
        <x:v>Theo Johnson</x:v>
      </x:c>
      <x:c r="E55" s="26" t="str">
        <x:v>NYG</x:v>
      </x:c>
      <x:c r="F55" s="26" t="str">
        <x:v>TE</x:v>
      </x:c>
      <x:c r="G55" s="28" t="n">
        <x:v>24.3</x:v>
      </x:c>
      <x:c r="H55" s="28" t="n">
        <x:v>-119.00000000000001</x:v>
      </x:c>
      <x:c r="I55" s="28" t="n">
        <x:v>0</x:v>
      </x:c>
      <x:c r="J55" s="28" t="n">
        <x:v>-119.00000000000001</x:v>
      </x:c>
      <x:c r="K55" s="27"/>
      <x:c r="L55" s="31" t="str">
        <x:v>ADP NOT LOADED</x:v>
      </x:c>
      <x:c r="M55" s="26" t="str">
        <x:v>Projection-only v1.0</x:v>
      </x:c>
    </x:row>
    <x:row r="56">
      <x:c r="A56" s="26" t="n">
        <x:v>52</x:v>
      </x:c>
      <x:c r="B56" s="26" t="n">
        <x:v>5</x:v>
      </x:c>
      <x:c r="C56" s="26" t="n">
        <x:v>52</x:v>
      </x:c>
      <x:c r="D56" s="26" t="str">
        <x:v>Erick All Jr.</x:v>
      </x:c>
      <x:c r="E56" s="26" t="str">
        <x:v>CIN</x:v>
      </x:c>
      <x:c r="F56" s="26" t="str">
        <x:v>TE</x:v>
      </x:c>
      <x:c r="G56" s="28" t="n">
        <x:v>22.7</x:v>
      </x:c>
      <x:c r="H56" s="28" t="n">
        <x:v>-120.60000000000001</x:v>
      </x:c>
      <x:c r="I56" s="28" t="n">
        <x:v>0</x:v>
      </x:c>
      <x:c r="J56" s="28" t="n">
        <x:v>-120.60000000000001</x:v>
      </x:c>
      <x:c r="K56" s="27"/>
      <x:c r="L56" s="31" t="str">
        <x:v>ADP NOT LOADED</x:v>
      </x:c>
      <x:c r="M56" s="26" t="str">
        <x:v>Projection-only v1.0</x:v>
      </x:c>
    </x:row>
    <x:row r="57">
      <x:c r="A57" s="26" t="n">
        <x:v>53</x:v>
      </x:c>
      <x:c r="B57" s="26" t="n">
        <x:v>5</x:v>
      </x:c>
      <x:c r="C57" s="26" t="n">
        <x:v>53</x:v>
      </x:c>
      <x:c r="D57" s="26" t="str">
        <x:v>Luke Musgrave</x:v>
      </x:c>
      <x:c r="E57" s="26" t="str">
        <x:v>GB</x:v>
      </x:c>
      <x:c r="F57" s="26" t="str">
        <x:v>TE</x:v>
      </x:c>
      <x:c r="G57" s="28" t="n">
        <x:v>22.9</x:v>
      </x:c>
      <x:c r="H57" s="28" t="n">
        <x:v>-120.4</x:v>
      </x:c>
      <x:c r="I57" s="28" t="n">
        <x:v>0</x:v>
      </x:c>
      <x:c r="J57" s="28" t="n">
        <x:v>-120.4</x:v>
      </x:c>
      <x:c r="K57" s="27"/>
      <x:c r="L57" s="31" t="str">
        <x:v>ADP NOT LOADED</x:v>
      </x:c>
      <x:c r="M57" s="26" t="str">
        <x:v>Projection-only v1.0</x:v>
      </x:c>
    </x:row>
    <x:row r="58">
      <x:c r="A58" s="26" t="n">
        <x:v>54</x:v>
      </x:c>
      <x:c r="B58" s="26" t="n">
        <x:v>5</x:v>
      </x:c>
      <x:c r="C58" s="26" t="n">
        <x:v>54</x:v>
      </x:c>
      <x:c r="D58" s="26" t="str">
        <x:v>Eli Stowers</x:v>
      </x:c>
      <x:c r="E58" s="26" t="str">
        <x:v>PHI</x:v>
      </x:c>
      <x:c r="F58" s="26" t="str">
        <x:v>TE</x:v>
      </x:c>
      <x:c r="G58" s="28" t="n">
        <x:v>21.4</x:v>
      </x:c>
      <x:c r="H58" s="28" t="n">
        <x:v>-121.9</x:v>
      </x:c>
      <x:c r="I58" s="28" t="n">
        <x:v>0</x:v>
      </x:c>
      <x:c r="J58" s="28" t="n">
        <x:v>-121.9</x:v>
      </x:c>
      <x:c r="K58" s="27"/>
      <x:c r="L58" s="31" t="str">
        <x:v>ADP NOT LOADED</x:v>
      </x:c>
      <x:c r="M58" s="26" t="str">
        <x:v>Projection-only v1.0</x:v>
      </x:c>
    </x:row>
    <x:row r="59">
      <x:c r="A59" s="26" t="n">
        <x:v>55</x:v>
      </x:c>
      <x:c r="B59" s="26" t="n">
        <x:v>5</x:v>
      </x:c>
      <x:c r="C59" s="26" t="n">
        <x:v>55</x:v>
      </x:c>
      <x:c r="D59" s="26" t="str">
        <x:v>Eli Raridon</x:v>
      </x:c>
      <x:c r="E59" s="26" t="str">
        <x:v>NE</x:v>
      </x:c>
      <x:c r="F59" s="26" t="str">
        <x:v>TE</x:v>
      </x:c>
      <x:c r="G59" s="28" t="n">
        <x:v>21</x:v>
      </x:c>
      <x:c r="H59" s="28" t="n">
        <x:v>-122.30000000000001</x:v>
      </x:c>
      <x:c r="I59" s="28" t="n">
        <x:v>0</x:v>
      </x:c>
      <x:c r="J59" s="28" t="n">
        <x:v>-122.30000000000001</x:v>
      </x:c>
      <x:c r="K59" s="27"/>
      <x:c r="L59" s="31" t="str">
        <x:v>ADP NOT LOADED</x:v>
      </x:c>
      <x:c r="M59" s="26" t="str">
        <x:v>Projection-only v1.0</x:v>
      </x:c>
    </x:row>
    <x:row r="60">
      <x:c r="A60" s="26" t="n">
        <x:v>56</x:v>
      </x:c>
      <x:c r="B60" s="26" t="n">
        <x:v>5</x:v>
      </x:c>
      <x:c r="C60" s="26" t="n">
        <x:v>56</x:v>
      </x:c>
      <x:c r="D60" s="26" t="str">
        <x:v>Will Kacmarek</x:v>
      </x:c>
      <x:c r="E60" s="26" t="str">
        <x:v>MIA</x:v>
      </x:c>
      <x:c r="F60" s="26" t="str">
        <x:v>TE</x:v>
      </x:c>
      <x:c r="G60" s="28" t="n">
        <x:v>19.1</x:v>
      </x:c>
      <x:c r="H60" s="28" t="n">
        <x:v>-124.20000000000002</x:v>
      </x:c>
      <x:c r="I60" s="28" t="n">
        <x:v>0</x:v>
      </x:c>
      <x:c r="J60" s="28" t="n">
        <x:v>-124.20000000000002</x:v>
      </x:c>
      <x:c r="K60" s="27"/>
      <x:c r="L60" s="31" t="str">
        <x:v>ADP NOT LOADED</x:v>
      </x:c>
      <x:c r="M60" s="26" t="str">
        <x:v>Projection-only v1.0</x:v>
      </x:c>
    </x:row>
    <x:row r="61">
      <x:c r="A61" s="26" t="n">
        <x:v>57</x:v>
      </x:c>
      <x:c r="B61" s="26" t="n">
        <x:v>5</x:v>
      </x:c>
      <x:c r="C61" s="26" t="n">
        <x:v>57</x:v>
      </x:c>
      <x:c r="D61" s="26" t="str">
        <x:v>Ben Sinnott</x:v>
      </x:c>
      <x:c r="E61" s="26" t="str">
        <x:v>WAS</x:v>
      </x:c>
      <x:c r="F61" s="26" t="str">
        <x:v>TE</x:v>
      </x:c>
      <x:c r="G61" s="28" t="n">
        <x:v>20</x:v>
      </x:c>
      <x:c r="H61" s="28" t="n">
        <x:v>-123.30000000000001</x:v>
      </x:c>
      <x:c r="I61" s="28" t="n">
        <x:v>0</x:v>
      </x:c>
      <x:c r="J61" s="28" t="n">
        <x:v>-123.30000000000001</x:v>
      </x:c>
      <x:c r="K61" s="27"/>
      <x:c r="L61" s="31" t="str">
        <x:v>ADP NOT LOADED</x:v>
      </x:c>
      <x:c r="M61" s="26" t="str">
        <x:v>Projection-only v1.0</x:v>
      </x:c>
    </x:row>
    <x:row r="62">
      <x:c r="A62" s="26" t="n">
        <x:v>58</x:v>
      </x:c>
      <x:c r="B62" s="26" t="n">
        <x:v>5</x:v>
      </x:c>
      <x:c r="C62" s="26" t="n">
        <x:v>58</x:v>
      </x:c>
      <x:c r="D62" s="26" t="str">
        <x:v>Nate Boerkircher</x:v>
      </x:c>
      <x:c r="E62" s="26" t="str">
        <x:v>JAX</x:v>
      </x:c>
      <x:c r="F62" s="26" t="str">
        <x:v>TE</x:v>
      </x:c>
      <x:c r="G62" s="28" t="n">
        <x:v>18.3</x:v>
      </x:c>
      <x:c r="H62" s="28" t="n">
        <x:v>-125.00000000000001</x:v>
      </x:c>
      <x:c r="I62" s="28" t="n">
        <x:v>0</x:v>
      </x:c>
      <x:c r="J62" s="28" t="n">
        <x:v>-125.00000000000001</x:v>
      </x:c>
      <x:c r="K62" s="27"/>
      <x:c r="L62" s="31" t="str">
        <x:v>ADP NOT LOADED</x:v>
      </x:c>
      <x:c r="M62" s="26" t="str">
        <x:v>Projection-only v1.0</x:v>
      </x:c>
    </x:row>
    <x:row r="63">
      <x:c r="A63" s="26" t="n">
        <x:v>59</x:v>
      </x:c>
      <x:c r="B63" s="26" t="n">
        <x:v>5</x:v>
      </x:c>
      <x:c r="C63" s="26" t="n">
        <x:v>59</x:v>
      </x:c>
      <x:c r="D63" s="26" t="str">
        <x:v>Mitchell Evans</x:v>
      </x:c>
      <x:c r="E63" s="26" t="str">
        <x:v>CAR</x:v>
      </x:c>
      <x:c r="F63" s="26" t="str">
        <x:v>TE</x:v>
      </x:c>
      <x:c r="G63" s="28" t="n">
        <x:v>16.5</x:v>
      </x:c>
      <x:c r="H63" s="28" t="n">
        <x:v>-126.80000000000001</x:v>
      </x:c>
      <x:c r="I63" s="28" t="n">
        <x:v>0</x:v>
      </x:c>
      <x:c r="J63" s="28" t="n">
        <x:v>-126.80000000000001</x:v>
      </x:c>
      <x:c r="K63" s="27"/>
      <x:c r="L63" s="31" t="str">
        <x:v>ADP NOT LOADED</x:v>
      </x:c>
      <x:c r="M63" s="26" t="str">
        <x:v>Projection-only v1.0</x:v>
      </x:c>
    </x:row>
    <x:row r="64">
      <x:c r="A64" s="26" t="n">
        <x:v>60</x:v>
      </x:c>
      <x:c r="B64" s="26" t="n">
        <x:v>5</x:v>
      </x:c>
      <x:c r="C64" s="26" t="n">
        <x:v>60</x:v>
      </x:c>
      <x:c r="D64" s="26" t="str">
        <x:v>Matt Hibner</x:v>
      </x:c>
      <x:c r="E64" s="26" t="str">
        <x:v>BAL</x:v>
      </x:c>
      <x:c r="F64" s="26" t="str">
        <x:v>TE</x:v>
      </x:c>
      <x:c r="G64" s="28" t="n">
        <x:v>16.9</x:v>
      </x:c>
      <x:c r="H64" s="28" t="n">
        <x:v>-126.4</x:v>
      </x:c>
      <x:c r="I64" s="28" t="n">
        <x:v>0</x:v>
      </x:c>
      <x:c r="J64" s="28" t="n">
        <x:v>-126.4</x:v>
      </x:c>
      <x:c r="K64" s="27"/>
      <x:c r="L64" s="31" t="str">
        <x:v>ADP NOT LOADED</x:v>
      </x:c>
      <x:c r="M64" s="26" t="str">
        <x:v>Projection-only v1.0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Elijah Higgins</x:v>
      </x:c>
      <x:c r="E65" s="26" t="str">
        <x:v>ARI</x:v>
      </x:c>
      <x:c r="F65" s="26" t="str">
        <x:v>TE</x:v>
      </x:c>
      <x:c r="G65" s="28" t="n">
        <x:v>15.7</x:v>
      </x:c>
      <x:c r="H65" s="28" t="n">
        <x:v>-127.60000000000001</x:v>
      </x:c>
      <x:c r="I65" s="28" t="n">
        <x:v>0</x:v>
      </x:c>
      <x:c r="J65" s="28" t="n">
        <x:v>-127.60000000000001</x:v>
      </x:c>
      <x:c r="K65" s="27"/>
      <x:c r="L65" s="31" t="str">
        <x:v>ADP NOT LOADED</x:v>
      </x:c>
      <x:c r="M65" s="26" t="str">
        <x:v>Projection-only v1.0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Michael Trigg</x:v>
      </x:c>
      <x:c r="E66" s="26" t="str">
        <x:v>DAL</x:v>
      </x:c>
      <x:c r="F66" s="26" t="str">
        <x:v>TE</x:v>
      </x:c>
      <x:c r="G66" s="28" t="n">
        <x:v>16.1</x:v>
      </x:c>
      <x:c r="H66" s="28" t="n">
        <x:v>-127.20000000000002</x:v>
      </x:c>
      <x:c r="I66" s="28" t="n">
        <x:v>0</x:v>
      </x:c>
      <x:c r="J66" s="28" t="n">
        <x:v>-127.20000000000002</x:v>
      </x:c>
      <x:c r="K66" s="27"/>
      <x:c r="L66" s="31" t="str">
        <x:v>ADP NOT LOADED</x:v>
      </x:c>
      <x:c r="M66" s="26" t="str">
        <x:v>Projection-only v1.0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Luke Schoonmaker</x:v>
      </x:c>
      <x:c r="E67" s="26" t="str">
        <x:v>DAL</x:v>
      </x:c>
      <x:c r="F67" s="26" t="str">
        <x:v>TE</x:v>
      </x:c>
      <x:c r="G67" s="28" t="n">
        <x:v>14.7</x:v>
      </x:c>
      <x:c r="H67" s="28" t="n">
        <x:v>-128.60000000000002</x:v>
      </x:c>
      <x:c r="I67" s="28" t="n">
        <x:v>0</x:v>
      </x:c>
      <x:c r="J67" s="28" t="n">
        <x:v>-128.60000000000002</x:v>
      </x:c>
      <x:c r="K67" s="27"/>
      <x:c r="L67" s="31" t="str">
        <x:v>ADP NOT LOADED</x:v>
      </x:c>
      <x:c r="M67" s="26" t="str">
        <x:v>Projection-only v1.0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Charlie Kolar</x:v>
      </x:c>
      <x:c r="E68" s="26" t="str">
        <x:v>LAC</x:v>
      </x:c>
      <x:c r="F68" s="26" t="str">
        <x:v>TE</x:v>
      </x:c>
      <x:c r="G68" s="28" t="n">
        <x:v>14.5</x:v>
      </x:c>
      <x:c r="H68" s="28" t="n">
        <x:v>-128.8</x:v>
      </x:c>
      <x:c r="I68" s="28" t="n">
        <x:v>0</x:v>
      </x:c>
      <x:c r="J68" s="28" t="n">
        <x:v>-128.8</x:v>
      </x:c>
      <x:c r="K68" s="27"/>
      <x:c r="L68" s="31" t="str">
        <x:v>ADP NOT LOADED</x:v>
      </x:c>
      <x:c r="M68" s="26" t="str">
        <x:v>Projection-only v1.0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Joe Royer</x:v>
      </x:c>
      <x:c r="E69" s="26" t="str">
        <x:v>CLE</x:v>
      </x:c>
      <x:c r="F69" s="26" t="str">
        <x:v>TE</x:v>
      </x:c>
      <x:c r="G69" s="28" t="n">
        <x:v>12.1</x:v>
      </x:c>
      <x:c r="H69" s="28" t="n">
        <x:v>-131.20000000000002</x:v>
      </x:c>
      <x:c r="I69" s="28" t="n">
        <x:v>0</x:v>
      </x:c>
      <x:c r="J69" s="28" t="n">
        <x:v>-131.20000000000002</x:v>
      </x:c>
      <x:c r="K69" s="27"/>
      <x:c r="L69" s="31" t="str">
        <x:v>ADP NOT LOADED</x:v>
      </x:c>
      <x:c r="M69" s="26" t="str">
        <x:v>Projection-only v1.0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Davis Allen</x:v>
      </x:c>
      <x:c r="E70" s="26" t="str">
        <x:v>LAR</x:v>
      </x:c>
      <x:c r="F70" s="26" t="str">
        <x:v>TE</x:v>
      </x:c>
      <x:c r="G70" s="28" t="n">
        <x:v>12.2</x:v>
      </x:c>
      <x:c r="H70" s="28" t="n">
        <x:v>-131.10000000000002</x:v>
      </x:c>
      <x:c r="I70" s="28" t="n">
        <x:v>0</x:v>
      </x:c>
      <x:c r="J70" s="28" t="n">
        <x:v>-131.10000000000002</x:v>
      </x:c>
      <x:c r="K70" s="27"/>
      <x:c r="L70" s="31" t="str">
        <x:v>ADP NOT LOADED</x:v>
      </x:c>
      <x:c r="M70" s="26" t="str">
        <x:v>Projection-only v1.0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Blake Whiteheart</x:v>
      </x:c>
      <x:c r="E71" s="26" t="str">
        <x:v>CLE</x:v>
      </x:c>
      <x:c r="F71" s="26" t="str">
        <x:v>TE</x:v>
      </x:c>
      <x:c r="G71" s="28" t="n">
        <x:v>11</x:v>
      </x:c>
      <x:c r="H71" s="28" t="n">
        <x:v>-132.3</x:v>
      </x:c>
      <x:c r="I71" s="28" t="n">
        <x:v>0</x:v>
      </x:c>
      <x:c r="J71" s="28" t="n">
        <x:v>-132.3</x:v>
      </x:c>
      <x:c r="K71" s="27"/>
      <x:c r="L71" s="31" t="str">
        <x:v>ADP NOT LOADED</x:v>
      </x:c>
      <x:c r="M71" s="26" t="str">
        <x:v>Projection-only v1.0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Drew Sample</x:v>
      </x:c>
      <x:c r="E72" s="26" t="str">
        <x:v>CIN</x:v>
      </x:c>
      <x:c r="F72" s="26" t="str">
        <x:v>TE</x:v>
      </x:c>
      <x:c r="G72" s="28" t="n">
        <x:v>10.9</x:v>
      </x:c>
      <x:c r="H72" s="28" t="n">
        <x:v>-132.4</x:v>
      </x:c>
      <x:c r="I72" s="28" t="n">
        <x:v>0</x:v>
      </x:c>
      <x:c r="J72" s="28" t="n">
        <x:v>-132.4</x:v>
      </x:c>
      <x:c r="K72" s="27"/>
      <x:c r="L72" s="31" t="str">
        <x:v>ADP NOT LOADED</x:v>
      </x:c>
      <x:c r="M72" s="26" t="str">
        <x:v>Projection-only v1.0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Oscar Delp</x:v>
      </x:c>
      <x:c r="E73" s="26" t="str">
        <x:v>NO</x:v>
      </x:c>
      <x:c r="F73" s="26" t="str">
        <x:v>TE</x:v>
      </x:c>
      <x:c r="G73" s="28" t="n">
        <x:v>10.7</x:v>
      </x:c>
      <x:c r="H73" s="28" t="n">
        <x:v>-132.60000000000002</x:v>
      </x:c>
      <x:c r="I73" s="28" t="n">
        <x:v>0</x:v>
      </x:c>
      <x:c r="J73" s="28" t="n">
        <x:v>-132.60000000000002</x:v>
      </x:c>
      <x:c r="K73" s="27"/>
      <x:c r="L73" s="31" t="str">
        <x:v>ADP NOT LOADED</x:v>
      </x:c>
      <x:c r="M73" s="26" t="str">
        <x:v>Projection-only v1.0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James Mitchell</x:v>
      </x:c>
      <x:c r="E74" s="26" t="str">
        <x:v>CAR</x:v>
      </x:c>
      <x:c r="F74" s="26" t="str">
        <x:v>TE</x:v>
      </x:c>
      <x:c r="G74" s="28" t="n">
        <x:v>9.6</x:v>
      </x:c>
      <x:c r="H74" s="28" t="n">
        <x:v>-133.70000000000002</x:v>
      </x:c>
      <x:c r="I74" s="28" t="n">
        <x:v>0</x:v>
      </x:c>
      <x:c r="J74" s="28" t="n">
        <x:v>-133.70000000000002</x:v>
      </x:c>
      <x:c r="K74" s="27"/>
      <x:c r="L74" s="31" t="str">
        <x:v>ADP NOT LOADED</x:v>
      </x:c>
      <x:c r="M74" s="26" t="str">
        <x:v>Projection-only v1.0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Jack Endries</x:v>
      </x:c>
      <x:c r="E75" s="26" t="str">
        <x:v>CIN</x:v>
      </x:c>
      <x:c r="F75" s="26" t="str">
        <x:v>TE</x:v>
      </x:c>
      <x:c r="G75" s="28" t="n">
        <x:v>9.6</x:v>
      </x:c>
      <x:c r="H75" s="28" t="n">
        <x:v>-133.70000000000002</x:v>
      </x:c>
      <x:c r="I75" s="28" t="n">
        <x:v>0</x:v>
      </x:c>
      <x:c r="J75" s="28" t="n">
        <x:v>-133.70000000000002</x:v>
      </x:c>
      <x:c r="K75" s="27"/>
      <x:c r="L75" s="31" t="str">
        <x:v>ADP NOT LOADED</x:v>
      </x:c>
      <x:c r="M75" s="26" t="str">
        <x:v>Projection-only v1.0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Max Klare</x:v>
      </x:c>
      <x:c r="E76" s="26" t="str">
        <x:v>LAR</x:v>
      </x:c>
      <x:c r="F76" s="26" t="str">
        <x:v>TE</x:v>
      </x:c>
      <x:c r="G76" s="28" t="n">
        <x:v>9.6</x:v>
      </x:c>
      <x:c r="H76" s="28" t="n">
        <x:v>-133.70000000000002</x:v>
      </x:c>
      <x:c r="I76" s="28" t="n">
        <x:v>0</x:v>
      </x:c>
      <x:c r="J76" s="28" t="n">
        <x:v>-133.70000000000002</x:v>
      </x:c>
      <x:c r="K76" s="27"/>
      <x:c r="L76" s="31" t="str">
        <x:v>ADP NOT LOADED</x:v>
      </x:c>
      <x:c r="M76" s="26" t="str">
        <x:v>Projection-only v1.0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Rivaldo Fairweather</x:v>
      </x:c>
      <x:c r="E77" s="26" t="str">
        <x:v>ARI</x:v>
      </x:c>
      <x:c r="F77" s="26" t="str">
        <x:v>TE</x:v>
      </x:c>
      <x:c r="G77" s="28" t="n">
        <x:v>9.7</x:v>
      </x:c>
      <x:c r="H77" s="28" t="n">
        <x:v>-133.60000000000002</x:v>
      </x:c>
      <x:c r="I77" s="28" t="n">
        <x:v>0</x:v>
      </x:c>
      <x:c r="J77" s="28" t="n">
        <x:v>-133.60000000000002</x:v>
      </x:c>
      <x:c r="K77" s="27"/>
      <x:c r="L77" s="31" t="str">
        <x:v>ADP NOT LOADED</x:v>
      </x:c>
      <x:c r="M77" s="26" t="str">
        <x:v>Projection-only v1.0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Teagan Quitoriano</x:v>
      </x:c>
      <x:c r="E78" s="26" t="str">
        <x:v>ARI</x:v>
      </x:c>
      <x:c r="F78" s="26" t="str">
        <x:v>TE</x:v>
      </x:c>
      <x:c r="G78" s="28" t="n">
        <x:v>9.7</x:v>
      </x:c>
      <x:c r="H78" s="28" t="n">
        <x:v>-133.60000000000002</x:v>
      </x:c>
      <x:c r="I78" s="28" t="n">
        <x:v>0</x:v>
      </x:c>
      <x:c r="J78" s="28" t="n">
        <x:v>-133.60000000000002</x:v>
      </x:c>
      <x:c r="K78" s="27"/>
      <x:c r="L78" s="31" t="str">
        <x:v>ADP NOT LOADED</x:v>
      </x:c>
      <x:c r="M78" s="26" t="str">
        <x:v>Projection-only v1.0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Tanner Hudson</x:v>
      </x:c>
      <x:c r="E79" s="26" t="str">
        <x:v>CIN</x:v>
      </x:c>
      <x:c r="F79" s="26" t="str">
        <x:v>TE</x:v>
      </x:c>
      <x:c r="G79" s="28" t="n">
        <x:v>9</x:v>
      </x:c>
      <x:c r="H79" s="28" t="n">
        <x:v>-134.3</x:v>
      </x:c>
      <x:c r="I79" s="28" t="n">
        <x:v>0</x:v>
      </x:c>
      <x:c r="J79" s="28" t="n">
        <x:v>-134.3</x:v>
      </x:c>
      <x:c r="K79" s="27"/>
      <x:c r="L79" s="31" t="str">
        <x:v>ADP NOT LOADED</x:v>
      </x:c>
      <x:c r="M79" s="26" t="str">
        <x:v>Projection-only v1.0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Cam Grandy</x:v>
      </x:c>
      <x:c r="E80" s="26" t="str">
        <x:v>CIN</x:v>
      </x:c>
      <x:c r="F80" s="26" t="str">
        <x:v>TE</x:v>
      </x:c>
      <x:c r="G80" s="28" t="n">
        <x:v>8.9</x:v>
      </x:c>
      <x:c r="H80" s="28" t="n">
        <x:v>-134.4</x:v>
      </x:c>
      <x:c r="I80" s="28" t="n">
        <x:v>0</x:v>
      </x:c>
      <x:c r="J80" s="28" t="n">
        <x:v>-134.4</x:v>
      </x:c>
      <x:c r="K80" s="27"/>
      <x:c r="L80" s="31" t="str">
        <x:v>ADP NOT LOADED</x:v>
      </x:c>
      <x:c r="M80" s="26" t="str">
        <x:v>Projection-only v1.0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Ben Sims</x:v>
      </x:c>
      <x:c r="E81" s="26" t="str">
        <x:v>MIA</x:v>
      </x:c>
      <x:c r="F81" s="26" t="str">
        <x:v>TE</x:v>
      </x:c>
      <x:c r="G81" s="28" t="n">
        <x:v>9</x:v>
      </x:c>
      <x:c r="H81" s="28" t="n">
        <x:v>-134.3</x:v>
      </x:c>
      <x:c r="I81" s="28" t="n">
        <x:v>0</x:v>
      </x:c>
      <x:c r="J81" s="28" t="n">
        <x:v>-134.3</x:v>
      </x:c>
      <x:c r="K81" s="27"/>
      <x:c r="L81" s="31" t="str">
        <x:v>ADP NOT LOADED</x:v>
      </x:c>
      <x:c r="M81" s="26" t="str">
        <x:v>Projection-only v1.0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Sam Roush</x:v>
      </x:c>
      <x:c r="E82" s="26" t="str">
        <x:v>CHI</x:v>
      </x:c>
      <x:c r="F82" s="26" t="str">
        <x:v>TE</x:v>
      </x:c>
      <x:c r="G82" s="28" t="n">
        <x:v>9.3</x:v>
      </x:c>
      <x:c r="H82" s="28" t="n">
        <x:v>-134</x:v>
      </x:c>
      <x:c r="I82" s="28" t="n">
        <x:v>0</x:v>
      </x:c>
      <x:c r="J82" s="28" t="n">
        <x:v>-134</x:v>
      </x:c>
      <x:c r="K82" s="27"/>
      <x:c r="L82" s="31" t="str">
        <x:v>ADP NOT LOADED</x:v>
      </x:c>
      <x:c r="M82" s="26" t="str">
        <x:v>Projection-only v1.0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Durham Smythe</x:v>
      </x:c>
      <x:c r="E83" s="26" t="str">
        <x:v>BAL</x:v>
      </x:c>
      <x:c r="F83" s="26" t="str">
        <x:v>TE</x:v>
      </x:c>
      <x:c r="G83" s="28" t="n">
        <x:v>8.3</x:v>
      </x:c>
      <x:c r="H83" s="28" t="n">
        <x:v>-135</x:v>
      </x:c>
      <x:c r="I83" s="28" t="n">
        <x:v>0</x:v>
      </x:c>
      <x:c r="J83" s="28" t="n">
        <x:v>-135</x:v>
      </x:c>
      <x:c r="K83" s="27"/>
      <x:c r="L83" s="31" t="str">
        <x:v>ADP NOT LOADED</x:v>
      </x:c>
      <x:c r="M83" s="26" t="str">
        <x:v>Projection-only v1.0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Nick Vannett</x:v>
      </x:c>
      <x:c r="E84" s="26" t="str">
        <x:v>SEA</x:v>
      </x:c>
      <x:c r="F84" s="26" t="str">
        <x:v>TE</x:v>
      </x:c>
      <x:c r="G84" s="28" t="n">
        <x:v>8.4</x:v>
      </x:c>
      <x:c r="H84" s="28" t="n">
        <x:v>-134.9</x:v>
      </x:c>
      <x:c r="I84" s="28" t="n">
        <x:v>0</x:v>
      </x:c>
      <x:c r="J84" s="28" t="n">
        <x:v>-134.9</x:v>
      </x:c>
      <x:c r="K84" s="27"/>
      <x:c r="L84" s="31" t="str">
        <x:v>ADP NOT LOADED</x:v>
      </x:c>
      <x:c r="M84" s="26" t="str">
        <x:v>Projection-only v1.0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Adam Trautman</x:v>
      </x:c>
      <x:c r="E85" s="26" t="str">
        <x:v>DEN</x:v>
      </x:c>
      <x:c r="F85" s="26" t="str">
        <x:v>TE</x:v>
      </x:c>
      <x:c r="G85" s="28" t="n">
        <x:v>7.6</x:v>
      </x:c>
      <x:c r="H85" s="28" t="n">
        <x:v>-135.70000000000002</x:v>
      </x:c>
      <x:c r="I85" s="28" t="n">
        <x:v>0</x:v>
      </x:c>
      <x:c r="J85" s="28" t="n">
        <x:v>-135.70000000000002</x:v>
      </x:c>
      <x:c r="K85" s="27"/>
      <x:c r="L85" s="31" t="str">
        <x:v>ADP NOT LOADED</x:v>
      </x:c>
      <x:c r="M85" s="26" t="str">
        <x:v>Projection-only v1.0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Jack Stoll</x:v>
      </x:c>
      <x:c r="E86" s="26" t="str">
        <x:v>CLE</x:v>
      </x:c>
      <x:c r="F86" s="26" t="str">
        <x:v>TE</x:v>
      </x:c>
      <x:c r="G86" s="28" t="n">
        <x:v>7.3</x:v>
      </x:c>
      <x:c r="H86" s="28" t="n">
        <x:v>-136</x:v>
      </x:c>
      <x:c r="I86" s="28" t="n">
        <x:v>0</x:v>
      </x:c>
      <x:c r="J86" s="28" t="n">
        <x:v>-136</x:v>
      </x:c>
      <x:c r="K86" s="27"/>
      <x:c r="L86" s="31" t="str">
        <x:v>ADP NOT LOADED</x:v>
      </x:c>
      <x:c r="M86" s="26" t="str">
        <x:v>Projection-only v1.0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Brevyn Spann-Ford</x:v>
      </x:c>
      <x:c r="E87" s="26" t="str">
        <x:v>DAL</x:v>
      </x:c>
      <x:c r="F87" s="26" t="str">
        <x:v>TE</x:v>
      </x:c>
      <x:c r="G87" s="28" t="n">
        <x:v>7.2</x:v>
      </x:c>
      <x:c r="H87" s="28" t="n">
        <x:v>-136.10000000000002</x:v>
      </x:c>
      <x:c r="I87" s="28" t="n">
        <x:v>0</x:v>
      </x:c>
      <x:c r="J87" s="28" t="n">
        <x:v>-136.10000000000002</x:v>
      </x:c>
      <x:c r="K87" s="27"/>
      <x:c r="L87" s="31" t="str">
        <x:v>ADP NOT LOADED</x:v>
      </x:c>
      <x:c r="M87" s="26" t="str">
        <x:v>Projection-only v1.0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Cade Stover</x:v>
      </x:c>
      <x:c r="E88" s="26" t="str">
        <x:v>HOU</x:v>
      </x:c>
      <x:c r="F88" s="26" t="str">
        <x:v>TE</x:v>
      </x:c>
      <x:c r="G88" s="28" t="n">
        <x:v>6.9</x:v>
      </x:c>
      <x:c r="H88" s="28" t="n">
        <x:v>-136.4</x:v>
      </x:c>
      <x:c r="I88" s="28" t="n">
        <x:v>0</x:v>
      </x:c>
      <x:c r="J88" s="28" t="n">
        <x:v>-136.4</x:v>
      </x:c>
      <x:c r="K88" s="27"/>
      <x:c r="L88" s="31" t="str">
        <x:v>ADP NOT LOADED</x:v>
      </x:c>
      <x:c r="M88" s="26" t="str">
        <x:v>Projection-only v1.0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Hunter Long</x:v>
      </x:c>
      <x:c r="E89" s="26" t="str">
        <x:v>JAX</x:v>
      </x:c>
      <x:c r="F89" s="26" t="str">
        <x:v>TE</x:v>
      </x:c>
      <x:c r="G89" s="28" t="n">
        <x:v>7.4</x:v>
      </x:c>
      <x:c r="H89" s="28" t="n">
        <x:v>-135.9</x:v>
      </x:c>
      <x:c r="I89" s="28" t="n">
        <x:v>0</x:v>
      </x:c>
      <x:c r="J89" s="28" t="n">
        <x:v>-135.9</x:v>
      </x:c>
      <x:c r="K89" s="27"/>
      <x:c r="L89" s="31" t="str">
        <x:v>ADP NOT LOADED</x:v>
      </x:c>
      <x:c r="M89" s="26" t="str">
        <x:v>Projection-only v1.0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Charlie Woerner</x:v>
      </x:c>
      <x:c r="E90" s="26" t="str">
        <x:v>ATL</x:v>
      </x:c>
      <x:c r="F90" s="26" t="str">
        <x:v>TE</x:v>
      </x:c>
      <x:c r="G90" s="28" t="n">
        <x:v>6.1</x:v>
      </x:c>
      <x:c r="H90" s="28" t="n">
        <x:v>-137.20000000000002</x:v>
      </x:c>
      <x:c r="I90" s="28" t="n">
        <x:v>0</x:v>
      </x:c>
      <x:c r="J90" s="28" t="n">
        <x:v>-137.20000000000002</x:v>
      </x:c>
      <x:c r="K90" s="27"/>
      <x:c r="L90" s="31" t="str">
        <x:v>ADP NOT LOADED</x:v>
      </x:c>
      <x:c r="M90" s="26" t="str">
        <x:v>Projection-only v1.0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John Michael Gyllenborg</x:v>
      </x:c>
      <x:c r="E91" s="26" t="str">
        <x:v>KC</x:v>
      </x:c>
      <x:c r="F91" s="26" t="str">
        <x:v>TE</x:v>
      </x:c>
      <x:c r="G91" s="28" t="n">
        <x:v>6.5</x:v>
      </x:c>
      <x:c r="H91" s="28" t="n">
        <x:v>-136.8</x:v>
      </x:c>
      <x:c r="I91" s="28" t="n">
        <x:v>0</x:v>
      </x:c>
      <x:c r="J91" s="28" t="n">
        <x:v>-136.8</x:v>
      </x:c>
      <x:c r="K91" s="27"/>
      <x:c r="L91" s="31" t="str">
        <x:v>ADP NOT LOADED</x:v>
      </x:c>
      <x:c r="M91" s="26" t="str">
        <x:v>Projection-only v1.0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CJ Dippre</x:v>
      </x:c>
      <x:c r="E92" s="26" t="str">
        <x:v>NE</x:v>
      </x:c>
      <x:c r="F92" s="26" t="str">
        <x:v>TE</x:v>
      </x:c>
      <x:c r="G92" s="28" t="n">
        <x:v>6.1</x:v>
      </x:c>
      <x:c r="H92" s="28" t="n">
        <x:v>-137.20000000000002</x:v>
      </x:c>
      <x:c r="I92" s="28" t="n">
        <x:v>0</x:v>
      </x:c>
      <x:c r="J92" s="28" t="n">
        <x:v>-137.20000000000002</x:v>
      </x:c>
      <x:c r="K92" s="27"/>
      <x:c r="L92" s="31" t="str">
        <x:v>ADP NOT LOADED</x:v>
      </x:c>
      <x:c r="M92" s="26" t="str">
        <x:v>Projection-only v1.0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Jared Wiley</x:v>
      </x:c>
      <x:c r="E93" s="26" t="str">
        <x:v>KC</x:v>
      </x:c>
      <x:c r="F93" s="26" t="str">
        <x:v>TE</x:v>
      </x:c>
      <x:c r="G93" s="28" t="n">
        <x:v>6</x:v>
      </x:c>
      <x:c r="H93" s="28" t="n">
        <x:v>-137.3</x:v>
      </x:c>
      <x:c r="I93" s="28" t="n">
        <x:v>0</x:v>
      </x:c>
      <x:c r="J93" s="28" t="n">
        <x:v>-137.3</x:v>
      </x:c>
      <x:c r="K93" s="27"/>
      <x:c r="L93" s="31" t="str">
        <x:v>ADP NOT LOADED</x:v>
      </x:c>
      <x:c r="M93" s="26" t="str">
        <x:v>Projection-only v1.0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John Bates</x:v>
      </x:c>
      <x:c r="E94" s="26" t="str">
        <x:v>WAS</x:v>
      </x:c>
      <x:c r="F94" s="26" t="str">
        <x:v>TE</x:v>
      </x:c>
      <x:c r="G94" s="28" t="n">
        <x:v>5.9</x:v>
      </x:c>
      <x:c r="H94" s="28" t="n">
        <x:v>-137.4</x:v>
      </x:c>
      <x:c r="I94" s="28" t="n">
        <x:v>0</x:v>
      </x:c>
      <x:c r="J94" s="28" t="n">
        <x:v>-137.4</x:v>
      </x:c>
      <x:c r="K94" s="27"/>
      <x:c r="L94" s="31" t="str">
        <x:v>ADP NOT LOADED</x:v>
      </x:c>
      <x:c r="M94" s="26" t="str">
        <x:v>Projection-only v1.0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Tyler Conklin</x:v>
      </x:c>
      <x:c r="E95" s="26" t="str">
        <x:v>DET</x:v>
      </x:c>
      <x:c r="F95" s="26" t="str">
        <x:v>TE</x:v>
      </x:c>
      <x:c r="G95" s="28" t="n">
        <x:v>5.7</x:v>
      </x:c>
      <x:c r="H95" s="28" t="n">
        <x:v>-137.60000000000002</x:v>
      </x:c>
      <x:c r="I95" s="28" t="n">
        <x:v>0</x:v>
      </x:c>
      <x:c r="J95" s="28" t="n">
        <x:v>-137.60000000000002</x:v>
      </x:c>
      <x:c r="K95" s="27"/>
      <x:c r="L95" s="31" t="str">
        <x:v>ADP NOT LOADED</x:v>
      </x:c>
      <x:c r="M95" s="26" t="str">
        <x:v>Projection-only v1.0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Ben Yurosek</x:v>
      </x:c>
      <x:c r="E96" s="26" t="str">
        <x:v>MIN</x:v>
      </x:c>
      <x:c r="F96" s="26" t="str">
        <x:v>TE</x:v>
      </x:c>
      <x:c r="G96" s="28" t="n">
        <x:v>5.5</x:v>
      </x:c>
      <x:c r="H96" s="28" t="n">
        <x:v>-137.8</x:v>
      </x:c>
      <x:c r="I96" s="28" t="n">
        <x:v>0</x:v>
      </x:c>
      <x:c r="J96" s="28" t="n">
        <x:v>-137.8</x:v>
      </x:c>
      <x:c r="K96" s="27"/>
      <x:c r="L96" s="31" t="str">
        <x:v>ADP NOT LOADED</x:v>
      </x:c>
      <x:c r="M96" s="26" t="str">
        <x:v>Projection-only v1.0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Grant Calcaterra</x:v>
      </x:c>
      <x:c r="E97" s="26" t="str">
        <x:v>PHI</x:v>
      </x:c>
      <x:c r="F97" s="26" t="str">
        <x:v>TE</x:v>
      </x:c>
      <x:c r="G97" s="28" t="n">
        <x:v>5.6</x:v>
      </x:c>
      <x:c r="H97" s="28" t="n">
        <x:v>-137.70000000000002</x:v>
      </x:c>
      <x:c r="I97" s="28" t="n">
        <x:v>0</x:v>
      </x:c>
      <x:c r="J97" s="28" t="n">
        <x:v>-137.70000000000002</x:v>
      </x:c>
      <x:c r="K97" s="27"/>
      <x:c r="L97" s="31" t="str">
        <x:v>ADP NOT LOADED</x:v>
      </x:c>
      <x:c r="M97" s="26" t="str">
        <x:v>Projection-only v1.0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Bauer Sharp</x:v>
      </x:c>
      <x:c r="E98" s="26" t="str">
        <x:v>TB</x:v>
      </x:c>
      <x:c r="F98" s="26" t="str">
        <x:v>TE</x:v>
      </x:c>
      <x:c r="G98" s="28" t="n">
        <x:v>5.5</x:v>
      </x:c>
      <x:c r="H98" s="28" t="n">
        <x:v>-137.8</x:v>
      </x:c>
      <x:c r="I98" s="28" t="n">
        <x:v>0</x:v>
      </x:c>
      <x:c r="J98" s="28" t="n">
        <x:v>-137.8</x:v>
      </x:c>
      <x:c r="K98" s="27"/>
      <x:c r="L98" s="31" t="str">
        <x:v>ADP NOT LOADED</x:v>
      </x:c>
      <x:c r="M98" s="26" t="str">
        <x:v>Projection-only v1.0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Hayden Rucci</x:v>
      </x:c>
      <x:c r="E99" s="26" t="str">
        <x:v>SF</x:v>
      </x:c>
      <x:c r="F99" s="26" t="str">
        <x:v>TE</x:v>
      </x:c>
      <x:c r="G99" s="28" t="n">
        <x:v>5.2</x:v>
      </x:c>
      <x:c r="H99" s="28" t="n">
        <x:v>-138.10000000000002</x:v>
      </x:c>
      <x:c r="I99" s="28" t="n">
        <x:v>0</x:v>
      </x:c>
      <x:c r="J99" s="28" t="n">
        <x:v>-138.10000000000002</x:v>
      </x:c>
      <x:c r="K99" s="27"/>
      <x:c r="L99" s="31" t="str">
        <x:v>ADP NOT LOADED</x:v>
      </x:c>
      <x:c r="M99" s="26" t="str">
        <x:v>Projection-only v1.0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Devin Culp</x:v>
      </x:c>
      <x:c r="E100" s="26" t="str">
        <x:v>TB</x:v>
      </x:c>
      <x:c r="F100" s="26" t="str">
        <x:v>TE</x:v>
      </x:c>
      <x:c r="G100" s="28" t="n">
        <x:v>5.4</x:v>
      </x:c>
      <x:c r="H100" s="28" t="n">
        <x:v>-137.9</x:v>
      </x:c>
      <x:c r="I100" s="28" t="n">
        <x:v>0</x:v>
      </x:c>
      <x:c r="J100" s="28" t="n">
        <x:v>-137.9</x:v>
      </x:c>
      <x:c r="K100" s="27"/>
      <x:c r="L100" s="31" t="str">
        <x:v>ADP NOT LOADED</x:v>
      </x:c>
      <x:c r="M100" s="26" t="str">
        <x:v>Projection-only v1.0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Nate Adkins</x:v>
      </x:c>
      <x:c r="E101" s="26" t="str">
        <x:v>DEN</x:v>
      </x:c>
      <x:c r="F101" s="26" t="str">
        <x:v>TE</x:v>
      </x:c>
      <x:c r="G101" s="28" t="n">
        <x:v>5.1</x:v>
      </x:c>
      <x:c r="H101" s="28" t="n">
        <x:v>-138.20000000000002</x:v>
      </x:c>
      <x:c r="I101" s="28" t="n">
        <x:v>0</x:v>
      </x:c>
      <x:c r="J101" s="28" t="n">
        <x:v>-138.20000000000002</x:v>
      </x:c>
      <x:c r="K101" s="27"/>
      <x:c r="L101" s="31" t="str">
        <x:v>ADP NOT LOADED</x:v>
      </x:c>
      <x:c r="M101" s="26" t="str">
        <x:v>Projection-only v1.0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Tip Reiman</x:v>
      </x:c>
      <x:c r="E102" s="26" t="str">
        <x:v>ARI</x:v>
      </x:c>
      <x:c r="F102" s="26" t="str">
        <x:v>TE</x:v>
      </x:c>
      <x:c r="G102" s="28" t="n">
        <x:v>4.9</x:v>
      </x:c>
      <x:c r="H102" s="28" t="n">
        <x:v>-138.4</x:v>
      </x:c>
      <x:c r="I102" s="28" t="n">
        <x:v>0</x:v>
      </x:c>
      <x:c r="J102" s="28" t="n">
        <x:v>-138.4</x:v>
      </x:c>
      <x:c r="K102" s="27"/>
      <x:c r="L102" s="31" t="str">
        <x:v>ADP NOT LOADED</x:v>
      </x:c>
      <x:c r="M102" s="26" t="str">
        <x:v>Projection-only v1.0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Foster Moreau</x:v>
      </x:c>
      <x:c r="E103" s="26" t="str">
        <x:v>HOU</x:v>
      </x:c>
      <x:c r="F103" s="26" t="str">
        <x:v>TE</x:v>
      </x:c>
      <x:c r="G103" s="28" t="n">
        <x:v>5</x:v>
      </x:c>
      <x:c r="H103" s="28" t="n">
        <x:v>-138.3</x:v>
      </x:c>
      <x:c r="I103" s="28" t="n">
        <x:v>0</x:v>
      </x:c>
      <x:c r="J103" s="28" t="n">
        <x:v>-138.3</x:v>
      </x:c>
      <x:c r="K103" s="27"/>
      <x:c r="L103" s="31" t="str">
        <x:v>ADP NOT LOADED</x:v>
      </x:c>
      <x:c r="M103" s="26" t="str">
        <x:v>Projection-only v1.0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Jeremy Ruckert</x:v>
      </x:c>
      <x:c r="E104" s="26" t="str">
        <x:v>NYJ</x:v>
      </x:c>
      <x:c r="F104" s="26" t="str">
        <x:v>TE</x:v>
      </x:c>
      <x:c r="G104" s="28" t="n">
        <x:v>4.4</x:v>
      </x:c>
      <x:c r="H104" s="28" t="n">
        <x:v>-138.9</x:v>
      </x:c>
      <x:c r="I104" s="28" t="n">
        <x:v>0</x:v>
      </x:c>
      <x:c r="J104" s="28" t="n">
        <x:v>-138.9</x:v>
      </x:c>
      <x:c r="K104" s="27"/>
      <x:c r="L104" s="31" t="str">
        <x:v>ADP NOT LOADED</x:v>
      </x:c>
      <x:c r="M104" s="26" t="str">
        <x:v>Projection-only v1.0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Josh Cuevas</x:v>
      </x:c>
      <x:c r="E105" s="26" t="str">
        <x:v>BAL</x:v>
      </x:c>
      <x:c r="F105" s="26" t="str">
        <x:v>TE</x:v>
      </x:c>
      <x:c r="G105" s="28" t="n">
        <x:v>4.6</x:v>
      </x:c>
      <x:c r="H105" s="28" t="n">
        <x:v>-138.70000000000002</x:v>
      </x:c>
      <x:c r="I105" s="28" t="n">
        <x:v>0</x:v>
      </x:c>
      <x:c r="J105" s="28" t="n">
        <x:v>-138.70000000000002</x:v>
      </x:c>
      <x:c r="K105" s="27"/>
      <x:c r="L105" s="31" t="str">
        <x:v>ADP NOT LOADED</x:v>
      </x:c>
      <x:c r="M105" s="26" t="str">
        <x:v>Projection-only v1.0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Jackson Hawes</x:v>
      </x:c>
      <x:c r="E106" s="26" t="str">
        <x:v>BUF</x:v>
      </x:c>
      <x:c r="F106" s="26" t="str">
        <x:v>TE</x:v>
      </x:c>
      <x:c r="G106" s="28" t="n">
        <x:v>4.6</x:v>
      </x:c>
      <x:c r="H106" s="28" t="n">
        <x:v>-138.70000000000002</x:v>
      </x:c>
      <x:c r="I106" s="28" t="n">
        <x:v>0</x:v>
      </x:c>
      <x:c r="J106" s="28" t="n">
        <x:v>-138.70000000000002</x:v>
      </x:c>
      <x:c r="K106" s="27"/>
      <x:c r="L106" s="31" t="str">
        <x:v>ADP NOT LOADED</x:v>
      </x:c>
      <x:c r="M106" s="26" t="str">
        <x:v>Projection-only v1.0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Will Mallory</x:v>
      </x:c>
      <x:c r="E107" s="26" t="str">
        <x:v>IND</x:v>
      </x:c>
      <x:c r="F107" s="26" t="str">
        <x:v>TE</x:v>
      </x:c>
      <x:c r="G107" s="28" t="n">
        <x:v>4</x:v>
      </x:c>
      <x:c r="H107" s="28" t="n">
        <x:v>-139.3</x:v>
      </x:c>
      <x:c r="I107" s="28" t="n">
        <x:v>0</x:v>
      </x:c>
      <x:c r="J107" s="28" t="n">
        <x:v>-139.3</x:v>
      </x:c>
      <x:c r="K107" s="27"/>
      <x:c r="L107" s="31" t="str">
        <x:v>ADP NOT LOADED</x:v>
      </x:c>
      <x:c r="M107" s="26" t="str">
        <x:v>Projection-only v1.0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Payne Durham</x:v>
      </x:c>
      <x:c r="E108" s="26" t="str">
        <x:v>TB</x:v>
      </x:c>
      <x:c r="F108" s="26" t="str">
        <x:v>TE</x:v>
      </x:c>
      <x:c r="G108" s="28" t="n">
        <x:v>4</x:v>
      </x:c>
      <x:c r="H108" s="28" t="n">
        <x:v>-139.3</x:v>
      </x:c>
      <x:c r="I108" s="28" t="n">
        <x:v>0</x:v>
      </x:c>
      <x:c r="J108" s="28" t="n">
        <x:v>-139.3</x:v>
      </x:c>
      <x:c r="K108" s="27"/>
      <x:c r="L108" s="31" t="str">
        <x:v>ADP NOT LOADED</x:v>
      </x:c>
      <x:c r="M108" s="26" t="str">
        <x:v>Projection-only v1.0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Mo Alie-Cox</x:v>
      </x:c>
      <x:c r="E109" s="26" t="str">
        <x:v>IND</x:v>
      </x:c>
      <x:c r="F109" s="26" t="str">
        <x:v>TE</x:v>
      </x:c>
      <x:c r="G109" s="28" t="n">
        <x:v>3.7</x:v>
      </x:c>
      <x:c r="H109" s="28" t="n">
        <x:v>-139.60000000000002</x:v>
      </x:c>
      <x:c r="I109" s="28" t="n">
        <x:v>0</x:v>
      </x:c>
      <x:c r="J109" s="28" t="n">
        <x:v>-139.60000000000002</x:v>
      </x:c>
      <x:c r="K109" s="27"/>
      <x:c r="L109" s="31" t="str">
        <x:v>ADP NOT LOADED</x:v>
      </x:c>
      <x:c r="M109" s="26" t="str">
        <x:v>Projection-only v1.0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Keleki Latu</x:v>
      </x:c>
      <x:c r="E110" s="26" t="str">
        <x:v>BUF</x:v>
      </x:c>
      <x:c r="F110" s="26" t="str">
        <x:v>TE</x:v>
      </x:c>
      <x:c r="G110" s="28" t="n">
        <x:v>3.6</x:v>
      </x:c>
      <x:c r="H110" s="28" t="n">
        <x:v>-139.70000000000002</x:v>
      </x:c>
      <x:c r="I110" s="28" t="n">
        <x:v>0</x:v>
      </x:c>
      <x:c r="J110" s="28" t="n">
        <x:v>-139.70000000000002</x:v>
      </x:c>
      <x:c r="K110" s="27"/>
      <x:c r="L110" s="31" t="str">
        <x:v>ADP NOT LOADED</x:v>
      </x:c>
      <x:c r="M110" s="26" t="str">
        <x:v>Projection-only v1.0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Dallen Bentley</x:v>
      </x:c>
      <x:c r="E111" s="26" t="str">
        <x:v>DEN</x:v>
      </x:c>
      <x:c r="F111" s="26" t="str">
        <x:v>TE</x:v>
      </x:c>
      <x:c r="G111" s="28" t="n">
        <x:v>3.3</x:v>
      </x:c>
      <x:c r="H111" s="28" t="n">
        <x:v>-140</x:v>
      </x:c>
      <x:c r="I111" s="28" t="n">
        <x:v>0</x:v>
      </x:c>
      <x:c r="J111" s="28" t="n">
        <x:v>-140</x:v>
      </x:c>
      <x:c r="K111" s="27"/>
      <x:c r="L111" s="31" t="str">
        <x:v>ADP NOT LOADED</x:v>
      </x:c>
      <x:c r="M111" s="26" t="str">
        <x:v>Projection-only v1.0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Tanner Koziol</x:v>
      </x:c>
      <x:c r="E112" s="26" t="str">
        <x:v>JAX</x:v>
      </x:c>
      <x:c r="F112" s="26" t="str">
        <x:v>TE</x:v>
      </x:c>
      <x:c r="G112" s="28" t="n">
        <x:v>3.1</x:v>
      </x:c>
      <x:c r="H112" s="28" t="n">
        <x:v>-140.20000000000002</x:v>
      </x:c>
      <x:c r="I112" s="28" t="n">
        <x:v>0</x:v>
      </x:c>
      <x:c r="J112" s="28" t="n">
        <x:v>-140.20000000000002</x:v>
      </x:c>
      <x:c r="K112" s="27"/>
      <x:c r="L112" s="31" t="str">
        <x:v>ADP NOT LOADED</x:v>
      </x:c>
      <x:c r="M112" s="26" t="str">
        <x:v>Projection-only v1.0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Jaren Kanak</x:v>
      </x:c>
      <x:c r="E113" s="26" t="str">
        <x:v>TEN</x:v>
      </x:c>
      <x:c r="F113" s="26" t="str">
        <x:v>TE</x:v>
      </x:c>
      <x:c r="G113" s="28" t="n">
        <x:v>2.9</x:v>
      </x:c>
      <x:c r="H113" s="28" t="n">
        <x:v>-140.4</x:v>
      </x:c>
      <x:c r="I113" s="28" t="n">
        <x:v>0</x:v>
      </x:c>
      <x:c r="J113" s="28" t="n">
        <x:v>-140.4</x:v>
      </x:c>
      <x:c r="K113" s="27"/>
      <x:c r="L113" s="31" t="str">
        <x:v>ADP NOT LOADED</x:v>
      </x:c>
      <x:c r="M113" s="26" t="str">
        <x:v>Projection-only v1.0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Seydou Traore</x:v>
      </x:c>
      <x:c r="E114" s="26" t="str">
        <x:v>MIA</x:v>
      </x:c>
      <x:c r="F114" s="26" t="str">
        <x:v>TE</x:v>
      </x:c>
      <x:c r="G114" s="28" t="n">
        <x:v>2.6</x:v>
      </x:c>
      <x:c r="H114" s="28" t="n">
        <x:v>-140.70000000000002</x:v>
      </x:c>
      <x:c r="I114" s="28" t="n">
        <x:v>0</x:v>
      </x:c>
      <x:c r="J114" s="28" t="n">
        <x:v>-140.70000000000002</x:v>
      </x:c>
      <x:c r="K114" s="27"/>
      <x:c r="L114" s="31" t="str">
        <x:v>ADP NOT LOADED</x:v>
      </x:c>
      <x:c r="M114" s="26" t="str">
        <x:v>Projection-only v1.0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Lucas Krull</x:v>
      </x:c>
      <x:c r="E115" s="26" t="str">
        <x:v>DEN</x:v>
      </x:c>
      <x:c r="F115" s="26" t="str">
        <x:v>TE</x:v>
      </x:c>
      <x:c r="G115" s="28" t="n">
        <x:v>2.6</x:v>
      </x:c>
      <x:c r="H115" s="28" t="n">
        <x:v>-140.70000000000002</x:v>
      </x:c>
      <x:c r="I115" s="28" t="n">
        <x:v>0</x:v>
      </x:c>
      <x:c r="J115" s="28" t="n">
        <x:v>-140.70000000000002</x:v>
      </x:c>
      <x:c r="K115" s="27"/>
      <x:c r="L115" s="31" t="str">
        <x:v>ADP NOT LOADED</x:v>
      </x:c>
      <x:c r="M115" s="26" t="str">
        <x:v>Projection-only v1.0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Ian Thomas</x:v>
      </x:c>
      <x:c r="E116" s="26" t="str">
        <x:v>LV</x:v>
      </x:c>
      <x:c r="F116" s="26" t="str">
        <x:v>TE</x:v>
      </x:c>
      <x:c r="G116" s="28" t="n">
        <x:v>2.3</x:v>
      </x:c>
      <x:c r="H116" s="28" t="n">
        <x:v>-141</x:v>
      </x:c>
      <x:c r="I116" s="28" t="n">
        <x:v>0</x:v>
      </x:c>
      <x:c r="J116" s="28" t="n">
        <x:v>-141</x:v>
      </x:c>
      <x:c r="K116" s="27"/>
      <x:c r="L116" s="31" t="str">
        <x:v>ADP NOT LOADED</x:v>
      </x:c>
      <x:c r="M116" s="26" t="str">
        <x:v>Projection-only v1.0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Eric Saubert</x:v>
      </x:c>
      <x:c r="E117" s="26" t="str">
        <x:v>SEA</x:v>
      </x:c>
      <x:c r="F117" s="26" t="str">
        <x:v>TE</x:v>
      </x:c>
      <x:c r="G117" s="28" t="n">
        <x:v>2.4</x:v>
      </x:c>
      <x:c r="H117" s="28" t="n">
        <x:v>-140.9</x:v>
      </x:c>
      <x:c r="I117" s="28" t="n">
        <x:v>0</x:v>
      </x:c>
      <x:c r="J117" s="28" t="n">
        <x:v>-140.9</x:v>
      </x:c>
      <x:c r="K117" s="27"/>
      <x:c r="L117" s="31" t="str">
        <x:v>ADP NOT LOADED</x:v>
      </x:c>
      <x:c r="M117" s="26" t="str">
        <x:v>Projection-only v1.0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Justin Joly</x:v>
      </x:c>
      <x:c r="E118" s="26" t="str">
        <x:v>DEN</x:v>
      </x:c>
      <x:c r="F118" s="26" t="str">
        <x:v>TE</x:v>
      </x:c>
      <x:c r="G118" s="28" t="n">
        <x:v>2.2</x:v>
      </x:c>
      <x:c r="H118" s="28" t="n">
        <x:v>-141.10000000000002</x:v>
      </x:c>
      <x:c r="I118" s="28" t="n">
        <x:v>0</x:v>
      </x:c>
      <x:c r="J118" s="28" t="n">
        <x:v>-141.10000000000002</x:v>
      </x:c>
      <x:c r="K118" s="27"/>
      <x:c r="L118" s="31" t="str">
        <x:v>ADP NOT LOADED</x:v>
      </x:c>
      <x:c r="M118" s="26" t="str">
        <x:v>Projection-only v1.0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Luke Farrell</x:v>
      </x:c>
      <x:c r="E119" s="26" t="str">
        <x:v>SF</x:v>
      </x:c>
      <x:c r="F119" s="26" t="str">
        <x:v>TE</x:v>
      </x:c>
      <x:c r="G119" s="28" t="n">
        <x:v>1.8</x:v>
      </x:c>
      <x:c r="H119" s="28" t="n">
        <x:v>-141.5</x:v>
      </x:c>
      <x:c r="I119" s="28" t="n">
        <x:v>0</x:v>
      </x:c>
      <x:c r="J119" s="28" t="n">
        <x:v>-141.5</x:v>
      </x:c>
      <x:c r="K119" s="27"/>
      <x:c r="L119" s="31" t="str">
        <x:v>ADP NOT LOADED</x:v>
      </x:c>
      <x:c r="M119" s="26" t="str">
        <x:v>Projection-only v1.0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Tanner Conner</x:v>
      </x:c>
      <x:c r="E120" s="26" t="str">
        <x:v>NYG</x:v>
      </x:c>
      <x:c r="F120" s="26" t="str">
        <x:v>TE</x:v>
      </x:c>
      <x:c r="G120" s="28" t="n">
        <x:v>1.8</x:v>
      </x:c>
      <x:c r="H120" s="28" t="n">
        <x:v>-141.5</x:v>
      </x:c>
      <x:c r="I120" s="28" t="n">
        <x:v>0</x:v>
      </x:c>
      <x:c r="J120" s="28" t="n">
        <x:v>-141.5</x:v>
      </x:c>
      <x:c r="K120" s="27"/>
      <x:c r="L120" s="31" t="str">
        <x:v>ADP NOT LOADED</x:v>
      </x:c>
      <x:c r="M120" s="26" t="str">
        <x:v>Projection-only v1.0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Ko Kieft</x:v>
      </x:c>
      <x:c r="E121" s="26" t="str">
        <x:v>TB</x:v>
      </x:c>
      <x:c r="F121" s="26" t="str">
        <x:v>TE</x:v>
      </x:c>
      <x:c r="G121" s="28" t="n">
        <x:v>1.8</x:v>
      </x:c>
      <x:c r="H121" s="28" t="n">
        <x:v>-141.5</x:v>
      </x:c>
      <x:c r="I121" s="28" t="n">
        <x:v>0</x:v>
      </x:c>
      <x:c r="J121" s="28" t="n">
        <x:v>-141.5</x:v>
      </x:c>
      <x:c r="K121" s="27"/>
      <x:c r="L121" s="31" t="str">
        <x:v>ADP NOT LOADED</x:v>
      </x:c>
      <x:c r="M121" s="26" t="str">
        <x:v>Projection-only v1.0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Thomas Fidone II</x:v>
      </x:c>
      <x:c r="E122" s="26" t="str">
        <x:v>NYG</x:v>
      </x:c>
      <x:c r="F122" s="26" t="str">
        <x:v>TE</x:v>
      </x:c>
      <x:c r="G122" s="28" t="n">
        <x:v>1.7</x:v>
      </x:c>
      <x:c r="H122" s="28" t="n">
        <x:v>-141.60000000000002</x:v>
      </x:c>
      <x:c r="I122" s="28" t="n">
        <x:v>0</x:v>
      </x:c>
      <x:c r="J122" s="28" t="n">
        <x:v>-141.60000000000002</x:v>
      </x:c>
      <x:c r="K122" s="27"/>
      <x:c r="L122" s="31" t="str">
        <x:v>ADP NOT LOADED</x:v>
      </x:c>
      <x:c r="M122" s="26" t="str">
        <x:v>Projection-only v1.0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Kylen Granson</x:v>
      </x:c>
      <x:c r="E123" s="26" t="str">
        <x:v>TEN</x:v>
      </x:c>
      <x:c r="F123" s="26" t="str">
        <x:v>TE</x:v>
      </x:c>
      <x:c r="G123" s="28" t="n">
        <x:v>1.5</x:v>
      </x:c>
      <x:c r="H123" s="28" t="n">
        <x:v>-141.8</x:v>
      </x:c>
      <x:c r="I123" s="28" t="n">
        <x:v>0</x:v>
      </x:c>
      <x:c r="J123" s="28" t="n">
        <x:v>-141.8</x:v>
      </x:c>
      <x:c r="K123" s="27"/>
      <x:c r="L123" s="31" t="str">
        <x:v>ADP NOT LOADED</x:v>
      </x:c>
      <x:c r="M123" s="26" t="str">
        <x:v>Projection-only v1.0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Zaire Mitchell-Paden</x:v>
      </x:c>
      <x:c r="E124" s="26" t="str">
        <x:v>NO</x:v>
      </x:c>
      <x:c r="F124" s="26" t="str">
        <x:v>TE</x:v>
      </x:c>
      <x:c r="G124" s="28" t="n">
        <x:v>1.5</x:v>
      </x:c>
      <x:c r="H124" s="28" t="n">
        <x:v>-141.8</x:v>
      </x:c>
      <x:c r="I124" s="28" t="n">
        <x:v>0</x:v>
      </x:c>
      <x:c r="J124" s="28" t="n">
        <x:v>-141.8</x:v>
      </x:c>
      <x:c r="K124" s="27"/>
      <x:c r="L124" s="31" t="str">
        <x:v>ADP NOT LOADED</x:v>
      </x:c>
      <x:c r="M124" s="26" t="str">
        <x:v>Projection-only v1.0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Brevin Jordan</x:v>
      </x:c>
      <x:c r="E125" s="26" t="str">
        <x:v>HOU</x:v>
      </x:c>
      <x:c r="F125" s="26" t="str">
        <x:v>TE</x:v>
      </x:c>
      <x:c r="G125" s="28" t="n">
        <x:v>1.3</x:v>
      </x:c>
      <x:c r="H125" s="28" t="n">
        <x:v>-142</x:v>
      </x:c>
      <x:c r="I125" s="28" t="n">
        <x:v>0</x:v>
      </x:c>
      <x:c r="J125" s="28" t="n">
        <x:v>-142</x:v>
      </x:c>
      <x:c r="K125" s="27"/>
      <x:c r="L125" s="31" t="str">
        <x:v>ADP NOT LOADED</x:v>
      </x:c>
      <x:c r="M125" s="26" t="str">
        <x:v>Projection-only v1.0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Drew Ogletree</x:v>
      </x:c>
      <x:c r="E126" s="26" t="str">
        <x:v>IND</x:v>
      </x:c>
      <x:c r="F126" s="26" t="str">
        <x:v>TE</x:v>
      </x:c>
      <x:c r="G126" s="28" t="n">
        <x:v>1.2</x:v>
      </x:c>
      <x:c r="H126" s="28" t="n">
        <x:v>-142.10000000000002</x:v>
      </x:c>
      <x:c r="I126" s="28" t="n">
        <x:v>0</x:v>
      </x:c>
      <x:c r="J126" s="28" t="n">
        <x:v>-142.10000000000002</x:v>
      </x:c>
      <x:c r="K126" s="27"/>
      <x:c r="L126" s="31" t="str">
        <x:v>ADP NOT LOADED</x:v>
      </x:c>
      <x:c r="M126" s="26" t="str">
        <x:v>Projection-only v1.0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Jaheim Bell</x:v>
      </x:c>
      <x:c r="E127" s="26" t="str">
        <x:v>PIT</x:v>
      </x:c>
      <x:c r="F127" s="26" t="str">
        <x:v>TE</x:v>
      </x:c>
      <x:c r="G127" s="28" t="n">
        <x:v>1.2</x:v>
      </x:c>
      <x:c r="H127" s="28" t="n">
        <x:v>-142.10000000000002</x:v>
      </x:c>
      <x:c r="I127" s="28" t="n">
        <x:v>0</x:v>
      </x:c>
      <x:c r="J127" s="28" t="n">
        <x:v>-142.10000000000002</x:v>
      </x:c>
      <x:c r="K127" s="27"/>
      <x:c r="L127" s="31" t="str">
        <x:v>ADP NOT LOADED</x:v>
      </x:c>
      <x:c r="M127" s="26" t="str">
        <x:v>Projection-only v1.0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Feleipe Franks</x:v>
      </x:c>
      <x:c r="E128" s="26" t="str">
        <x:v>CAR</x:v>
      </x:c>
      <x:c r="F128" s="26" t="str">
        <x:v>TE</x:v>
      </x:c>
      <x:c r="G128" s="28" t="n">
        <x:v>1</x:v>
      </x:c>
      <x:c r="H128" s="28" t="n">
        <x:v>-142.3</x:v>
      </x:c>
      <x:c r="I128" s="28" t="n">
        <x:v>0</x:v>
      </x:c>
      <x:c r="J128" s="28" t="n">
        <x:v>-142.3</x:v>
      </x:c>
      <x:c r="K128" s="27"/>
      <x:c r="L128" s="31" t="str">
        <x:v>ADP NOT LOADED</x:v>
      </x:c>
      <x:c r="M128" s="26" t="str">
        <x:v>Projection-only v1.0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Johnny Mundt</x:v>
      </x:c>
      <x:c r="E129" s="26" t="str">
        <x:v>PHI</x:v>
      </x:c>
      <x:c r="F129" s="26" t="str">
        <x:v>TE</x:v>
      </x:c>
      <x:c r="G129" s="28" t="n">
        <x:v>0.8</x:v>
      </x:c>
      <x:c r="H129" s="28" t="n">
        <x:v>-142.5</x:v>
      </x:c>
      <x:c r="I129" s="28" t="n">
        <x:v>0</x:v>
      </x:c>
      <x:c r="J129" s="28" t="n">
        <x:v>-142.5</x:v>
      </x:c>
      <x:c r="K129" s="27"/>
      <x:c r="L129" s="31" t="str">
        <x:v>ADP NOT LOADED</x:v>
      </x:c>
      <x:c r="M129" s="26" t="str">
        <x:v>Projection-only v1.0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Stone Smartt</x:v>
      </x:c>
      <x:c r="E130" s="26" t="str">
        <x:v>PHI</x:v>
      </x:c>
      <x:c r="F130" s="26" t="str">
        <x:v>TE</x:v>
      </x:c>
      <x:c r="G130" s="28" t="n">
        <x:v>0.6</x:v>
      </x:c>
      <x:c r="H130" s="28" t="n">
        <x:v>-142.70000000000002</x:v>
      </x:c>
      <x:c r="I130" s="28" t="n">
        <x:v>0</x:v>
      </x:c>
      <x:c r="J130" s="28" t="n">
        <x:v>-142.70000000000002</x:v>
      </x:c>
      <x:c r="K130" s="27"/>
      <x:c r="L130" s="31" t="str">
        <x:v>ADP NOT LOADED</x:v>
      </x:c>
      <x:c r="M130" s="26" t="str">
        <x:v>Projection-only v1.0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Moliki Matavao</x:v>
      </x:c>
      <x:c r="E131" s="26" t="str">
        <x:v>NO</x:v>
      </x:c>
      <x:c r="F131" s="26" t="str">
        <x:v>TE</x:v>
      </x:c>
      <x:c r="G131" s="28" t="n">
        <x:v>0.5</x:v>
      </x:c>
      <x:c r="H131" s="28" t="n">
        <x:v>-142.8</x:v>
      </x:c>
      <x:c r="I131" s="28" t="n">
        <x:v>0</x:v>
      </x:c>
      <x:c r="J131" s="28" t="n">
        <x:v>-142.8</x:v>
      </x:c>
      <x:c r="K131" s="27"/>
      <x:c r="L131" s="31" t="str">
        <x:v>ADP NOT LOADED</x:v>
      </x:c>
      <x:c r="M131" s="26" t="str">
        <x:v>Projection-only v1.0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Drake Dabney</x:v>
      </x:c>
      <x:c r="E132" s="26" t="str">
        <x:v>GB</x:v>
      </x:c>
      <x:c r="F132" s="26" t="str">
        <x:v>TE</x:v>
      </x:c>
      <x:c r="G132" s="28" t="n">
        <x:v>0.5</x:v>
      </x:c>
      <x:c r="H132" s="28" t="n">
        <x:v>-142.8</x:v>
      </x:c>
      <x:c r="I132" s="28" t="n">
        <x:v>0</x:v>
      </x:c>
      <x:c r="J132" s="28" t="n">
        <x:v>-142.8</x:v>
      </x:c>
      <x:c r="K132" s="27"/>
      <x:c r="L132" s="31" t="str">
        <x:v>ADP NOT LOADED</x:v>
      </x:c>
      <x:c r="M132" s="26" t="str">
        <x:v>Projection-only v1.0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Josh Whyle</x:v>
      </x:c>
      <x:c r="E133" s="26" t="str">
        <x:v>GB</x:v>
      </x:c>
      <x:c r="F133" s="26" t="str">
        <x:v>TE</x:v>
      </x:c>
      <x:c r="G133" s="28" t="n">
        <x:v>0.5</x:v>
      </x:c>
      <x:c r="H133" s="28" t="n">
        <x:v>-142.8</x:v>
      </x:c>
      <x:c r="I133" s="28" t="n">
        <x:v>0</x:v>
      </x:c>
      <x:c r="J133" s="28" t="n">
        <x:v>-142.8</x:v>
      </x:c>
      <x:c r="K133" s="27"/>
      <x:c r="L133" s="31" t="str">
        <x:v>ADP NOT LOADED</x:v>
      </x:c>
      <x:c r="M133" s="26" t="str">
        <x:v>Projection-only v1.0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Cameron Latu</x:v>
      </x:c>
      <x:c r="E134" s="26" t="str">
        <x:v>PHI</x:v>
      </x:c>
      <x:c r="F134" s="26" t="str">
        <x:v>TE</x:v>
      </x:c>
      <x:c r="G134" s="28" t="n">
        <x:v>0.4</x:v>
      </x:c>
      <x:c r="H134" s="28" t="n">
        <x:v>-142.9</x:v>
      </x:c>
      <x:c r="I134" s="28" t="n">
        <x:v>0</x:v>
      </x:c>
      <x:c r="J134" s="28" t="n">
        <x:v>-142.9</x:v>
      </x:c>
      <x:c r="K134" s="27"/>
      <x:c r="L134" s="31" t="str">
        <x:v>ADP NOT LOADED</x:v>
      </x:c>
      <x:c r="M134" s="26" t="str">
        <x:v>Projection-only v1.0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Shane Zylstra</x:v>
      </x:c>
      <x:c r="E135" s="26" t="str">
        <x:v>BUF</x:v>
      </x:c>
      <x:c r="F135" s="26" t="str">
        <x:v>TE</x:v>
      </x:c>
      <x:c r="G135" s="28" t="n">
        <x:v>0.4</x:v>
      </x:c>
      <x:c r="H135" s="28" t="n">
        <x:v>-142.9</x:v>
      </x:c>
      <x:c r="I135" s="28" t="n">
        <x:v>0</x:v>
      </x:c>
      <x:c r="J135" s="28" t="n">
        <x:v>-142.9</x:v>
      </x:c>
      <x:c r="K135" s="27"/>
      <x:c r="L135" s="31" t="str">
        <x:v>ADP NOT LOADED</x:v>
      </x:c>
      <x:c r="M135" s="26" t="str">
        <x:v>Projection-only v1.0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Chris Manhertz</x:v>
      </x:c>
      <x:c r="E136" s="26" t="str">
        <x:v>NYG</x:v>
      </x:c>
      <x:c r="F136" s="26" t="str">
        <x:v>TE</x:v>
      </x:c>
      <x:c r="G136" s="28" t="n">
        <x:v>0.3</x:v>
      </x:c>
      <x:c r="H136" s="28" t="n">
        <x:v>-143</x:v>
      </x:c>
      <x:c r="I136" s="28" t="n">
        <x:v>0</x:v>
      </x:c>
      <x:c r="J136" s="28" t="n">
        <x:v>-143</x:v>
      </x:c>
      <x:c r="K136" s="27"/>
      <x:c r="L136" s="31" t="str">
        <x:v>ADP NOT LOADED</x:v>
      </x:c>
      <x:c r="M136" s="26" t="str">
        <x:v>Projection-only v1.0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Robert Tonyan</x:v>
      </x:c>
      <x:c r="E137" s="26" t="str">
        <x:v>PIT</x:v>
      </x:c>
      <x:c r="F137" s="26" t="str">
        <x:v>TE</x:v>
      </x:c>
      <x:c r="G137" s="28" t="n">
        <x:v>0.1</x:v>
      </x:c>
      <x:c r="H137" s="28" t="n">
        <x:v>-143.20000000000002</x:v>
      </x:c>
      <x:c r="I137" s="28" t="n">
        <x:v>0</x:v>
      </x:c>
      <x:c r="J137" s="28" t="n">
        <x:v>-143.20000000000002</x:v>
      </x:c>
      <x:c r="K137" s="27"/>
      <x:c r="L137" s="31" t="str">
        <x:v>ADP NOT LOADED</x:v>
      </x:c>
      <x:c r="M137" s="26" t="str">
        <x:v>Projection-only v1.0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Julian Hill</x:v>
      </x:c>
      <x:c r="E138" s="26" t="str">
        <x:v>NE</x:v>
      </x:c>
      <x:c r="F138" s="26" t="str">
        <x:v>TE</x:v>
      </x:c>
      <x:c r="G138" s="28" t="n">
        <x:v>0</x:v>
      </x:c>
      <x:c r="H138" s="28" t="n">
        <x:v>-143.3</x:v>
      </x:c>
      <x:c r="I138" s="28" t="n">
        <x:v>0</x:v>
      </x:c>
      <x:c r="J138" s="28" t="n">
        <x:v>-143.3</x:v>
      </x:c>
      <x:c r="K138" s="27"/>
      <x:c r="L138" s="31" t="str">
        <x:v>ADP NOT LOADED</x:v>
      </x:c>
      <x:c r="M138" s="26" t="str">
        <x:v>Projection-only v1.0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Jack Westover</x:v>
      </x:c>
      <x:c r="E139" s="26" t="str">
        <x:v>NE</x:v>
      </x:c>
      <x:c r="F139" s="26" t="str">
        <x:v>TE</x:v>
      </x:c>
      <x:c r="G139" s="28" t="n">
        <x:v>0</x:v>
      </x:c>
      <x:c r="H139" s="28" t="n">
        <x:v>-143.3</x:v>
      </x:c>
      <x:c r="I139" s="28" t="n">
        <x:v>0</x:v>
      </x:c>
      <x:c r="J139" s="28" t="n">
        <x:v>-143.3</x:v>
      </x:c>
      <x:c r="K139" s="27"/>
      <x:c r="L139" s="31" t="str">
        <x:v>ADP NOT LOADED</x:v>
      </x:c>
      <x:c r="M139" s="26" t="str">
        <x:v>Projection-only v1.0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Colson Yankoff</x:v>
      </x:c>
      <x:c r="E140" s="26" t="str">
        <x:v>WAS</x:v>
      </x:c>
      <x:c r="F140" s="26" t="str">
        <x:v>TE</x:v>
      </x:c>
      <x:c r="G140" s="28" t="n">
        <x:v>0</x:v>
      </x:c>
      <x:c r="H140" s="28" t="n">
        <x:v>-143.3</x:v>
      </x:c>
      <x:c r="I140" s="28" t="n">
        <x:v>0</x:v>
      </x:c>
      <x:c r="J140" s="28" t="n">
        <x:v>-143.3</x:v>
      </x:c>
      <x:c r="K140" s="27"/>
      <x:c r="L140" s="31" t="str">
        <x:v>ADP NOT LOADED</x:v>
      </x:c>
      <x:c r="M140" s="26" t="str">
        <x:v>Projection-only v1.0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Lawrence Cager</x:v>
      </x:c>
      <x:c r="E141" s="26" t="str">
        <x:v>WAS</x:v>
      </x:c>
      <x:c r="F141" s="26" t="str">
        <x:v>TE</x:v>
      </x:c>
      <x:c r="G141" s="28" t="n">
        <x:v>0</x:v>
      </x:c>
      <x:c r="H141" s="28" t="n">
        <x:v>-143.3</x:v>
      </x:c>
      <x:c r="I141" s="28" t="n">
        <x:v>0</x:v>
      </x:c>
      <x:c r="J141" s="28" t="n">
        <x:v>-143.3</x:v>
      </x:c>
      <x:c r="K141" s="27"/>
      <x:c r="L141" s="31" t="str">
        <x:v>ADP NOT LOADED</x:v>
      </x:c>
      <x:c r="M141" s="26" t="str">
        <x:v>Projection-only v1.0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Nikola Kalinic</x:v>
      </x:c>
      <x:c r="E142" s="26" t="str">
        <x:v>CHI</x:v>
      </x:c>
      <x:c r="F142" s="26" t="str">
        <x:v>TE</x:v>
      </x:c>
      <x:c r="G142" s="28" t="n">
        <x:v>0</x:v>
      </x:c>
      <x:c r="H142" s="28" t="n">
        <x:v>-143.3</x:v>
      </x:c>
      <x:c r="I142" s="28" t="n">
        <x:v>0</x:v>
      </x:c>
      <x:c r="J142" s="28" t="n">
        <x:v>-143.3</x:v>
      </x:c>
      <x:c r="K142" s="27"/>
      <x:c r="L142" s="31" t="str">
        <x:v>ADP NOT LOADED</x:v>
      </x:c>
      <x:c r="M142" s="26" t="str">
        <x:v>Projection-only v1.0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E.J. Jenkins</x:v>
      </x:c>
      <x:c r="E143" s="26" t="str">
        <x:v>PHI</x:v>
      </x:c>
      <x:c r="F143" s="26" t="str">
        <x:v>TE</x:v>
      </x:c>
      <x:c r="G143" s="28" t="n">
        <x:v>0</x:v>
      </x:c>
      <x:c r="H143" s="28" t="n">
        <x:v>-143.3</x:v>
      </x:c>
      <x:c r="I143" s="28" t="n">
        <x:v>0</x:v>
      </x:c>
      <x:c r="J143" s="28" t="n">
        <x:v>-143.3</x:v>
      </x:c>
      <x:c r="K143" s="27"/>
      <x:c r="L143" s="31" t="str">
        <x:v>ADP NOT LOADED</x:v>
      </x:c>
      <x:c r="M143" s="26" t="str">
        <x:v>Projection-only v1.0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Quintin Morris</x:v>
      </x:c>
      <x:c r="E144" s="26" t="str">
        <x:v>JAX</x:v>
      </x:c>
      <x:c r="F144" s="26" t="str">
        <x:v>TE</x:v>
      </x:c>
      <x:c r="G144" s="28" t="n">
        <x:v>0</x:v>
      </x:c>
      <x:c r="H144" s="28" t="n">
        <x:v>-143.3</x:v>
      </x:c>
      <x:c r="I144" s="28" t="n">
        <x:v>0</x:v>
      </x:c>
      <x:c r="J144" s="28" t="n">
        <x:v>-143.3</x:v>
      </x:c>
      <x:c r="K144" s="27"/>
      <x:c r="L144" s="31" t="str">
        <x:v>ADP NOT LOADED</x:v>
      </x:c>
      <x:c r="M144" s="26" t="str">
        <x:v>Projection-only v1.0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Brayden Willis</x:v>
      </x:c>
      <x:c r="E145" s="26" t="str">
        <x:v>SF</x:v>
      </x:c>
      <x:c r="F145" s="26" t="str">
        <x:v>TE</x:v>
      </x:c>
      <x:c r="G145" s="28" t="n">
        <x:v>0</x:v>
      </x:c>
      <x:c r="H145" s="28" t="n">
        <x:v>-143.3</x:v>
      </x:c>
      <x:c r="I145" s="28" t="n">
        <x:v>0</x:v>
      </x:c>
      <x:c r="J145" s="28" t="n">
        <x:v>-143.3</x:v>
      </x:c>
      <x:c r="K145" s="27"/>
      <x:c r="L145" s="31" t="str">
        <x:v>ADP NOT LOADED</x:v>
      </x:c>
      <x:c r="M145" s="26" t="str">
        <x:v>Projection-only v1.0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Tanner McLachlan</x:v>
      </x:c>
      <x:c r="E146" s="26" t="str">
        <x:v>SF</x:v>
      </x:c>
      <x:c r="F146" s="26" t="str">
        <x:v>TE</x:v>
      </x:c>
      <x:c r="G146" s="28" t="n">
        <x:v>0</x:v>
      </x:c>
      <x:c r="H146" s="28" t="n">
        <x:v>-143.3</x:v>
      </x:c>
      <x:c r="I146" s="28" t="n">
        <x:v>0</x:v>
      </x:c>
      <x:c r="J146" s="28" t="n">
        <x:v>-143.3</x:v>
      </x:c>
      <x:c r="K146" s="27"/>
      <x:c r="L146" s="31" t="str">
        <x:v>ADP NOT LOADED</x:v>
      </x:c>
      <x:c r="M146" s="26" t="str">
        <x:v>Projection-only v1.0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Josiah Deguara</x:v>
      </x:c>
      <x:c r="E147" s="26" t="str">
        <x:v>SF</x:v>
      </x:c>
      <x:c r="F147" s="26" t="str">
        <x:v>TE</x:v>
      </x:c>
      <x:c r="G147" s="28" t="n">
        <x:v>0</x:v>
      </x:c>
      <x:c r="H147" s="28" t="n">
        <x:v>-143.3</x:v>
      </x:c>
      <x:c r="I147" s="28" t="n">
        <x:v>0</x:v>
      </x:c>
      <x:c r="J147" s="28" t="n">
        <x:v>-143.3</x:v>
      </x:c>
      <x:c r="K147" s="27"/>
      <x:c r="L147" s="31" t="str">
        <x:v>ADP NOT LOADED</x:v>
      </x:c>
      <x:c r="M147" s="26" t="str">
        <x:v>Projection-only v1.0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Anthony Firkser</x:v>
      </x:c>
      <x:c r="E148" s="26" t="str">
        <x:v>DET</x:v>
      </x:c>
      <x:c r="F148" s="26" t="str">
        <x:v>TE</x:v>
      </x:c>
      <x:c r="G148" s="28" t="n">
        <x:v>0</x:v>
      </x:c>
      <x:c r="H148" s="28" t="n">
        <x:v>-143.3</x:v>
      </x:c>
      <x:c r="I148" s="28" t="n">
        <x:v>0</x:v>
      </x:c>
      <x:c r="J148" s="28" t="n">
        <x:v>-143.3</x:v>
      </x:c>
      <x:c r="K148" s="27"/>
      <x:c r="L148" s="31" t="str">
        <x:v>ADP NOT LOADED</x:v>
      </x:c>
      <x:c r="M148" s="26" t="str">
        <x:v>Projection-only v1.0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Zack Kuntz</x:v>
      </x:c>
      <x:c r="E149" s="26" t="str">
        <x:v>DAL</x:v>
      </x:c>
      <x:c r="F149" s="26" t="str">
        <x:v>TE</x:v>
      </x:c>
      <x:c r="G149" s="28" t="n">
        <x:v>0</x:v>
      </x:c>
      <x:c r="H149" s="28" t="n">
        <x:v>-143.3</x:v>
      </x:c>
      <x:c r="I149" s="28" t="n">
        <x:v>0</x:v>
      </x:c>
      <x:c r="J149" s="28" t="n">
        <x:v>-143.3</x:v>
      </x:c>
      <x:c r="K149" s="27"/>
      <x:c r="L149" s="31" t="str">
        <x:v>ADP NOT LOADED</x:v>
      </x:c>
      <x:c r="M149" s="26" t="str">
        <x:v>Projection-only v1.0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Caleb Lohner</x:v>
      </x:c>
      <x:c r="E150" s="26" t="str">
        <x:v>DEN</x:v>
      </x:c>
      <x:c r="F150" s="26" t="str">
        <x:v>TE</x:v>
      </x:c>
      <x:c r="G150" s="28" t="n">
        <x:v>0</x:v>
      </x:c>
      <x:c r="H150" s="28" t="n">
        <x:v>-143.3</x:v>
      </x:c>
      <x:c r="I150" s="28" t="n">
        <x:v>0</x:v>
      </x:c>
      <x:c r="J150" s="28" t="n">
        <x:v>-143.3</x:v>
      </x:c>
      <x:c r="K150" s="27"/>
      <x:c r="L150" s="31" t="str">
        <x:v>ADP NOT LOADED</x:v>
      </x:c>
      <x:c r="M150" s="26" t="str">
        <x:v>Projection-only v1.0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Jake Briningstool</x:v>
      </x:c>
      <x:c r="E151" s="26" t="str">
        <x:v>KC</x:v>
      </x:c>
      <x:c r="F151" s="26" t="str">
        <x:v>TE</x:v>
      </x:c>
      <x:c r="G151" s="28" t="n">
        <x:v>0</x:v>
      </x:c>
      <x:c r="H151" s="28" t="n">
        <x:v>-143.3</x:v>
      </x:c>
      <x:c r="I151" s="28" t="n">
        <x:v>0</x:v>
      </x:c>
      <x:c r="J151" s="28" t="n">
        <x:v>-143.3</x:v>
      </x:c>
      <x:c r="K151" s="27"/>
      <x:c r="L151" s="31" t="str">
        <x:v>ADP NOT LOADED</x:v>
      </x:c>
      <x:c r="M151" s="26" t="str">
        <x:v>Projection-only v1.0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Cole Turner</x:v>
      </x:c>
      <x:c r="E152" s="26" t="str">
        <x:v>MIA</x:v>
      </x:c>
      <x:c r="F152" s="26" t="str">
        <x:v>TE</x:v>
      </x:c>
      <x:c r="G152" s="28" t="n">
        <x:v>0</x:v>
      </x:c>
      <x:c r="H152" s="28" t="n">
        <x:v>-143.3</x:v>
      </x:c>
      <x:c r="I152" s="28" t="n">
        <x:v>0</x:v>
      </x:c>
      <x:c r="J152" s="28" t="n">
        <x:v>-143.3</x:v>
      </x:c>
      <x:c r="K152" s="27"/>
      <x:c r="L152" s="31" t="str">
        <x:v>ADP NOT LOADED</x:v>
      </x:c>
      <x:c r="M152" s="26" t="str">
        <x:v>Projection-only v1.0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David Martin-Robinson</x:v>
      </x:c>
      <x:c r="E153" s="26" t="str">
        <x:v>TEN</x:v>
      </x:c>
      <x:c r="F153" s="26" t="str">
        <x:v>TE</x:v>
      </x:c>
      <x:c r="G153" s="28" t="n">
        <x:v>0</x:v>
      </x:c>
      <x:c r="H153" s="28" t="n">
        <x:v>-143.3</x:v>
      </x:c>
      <x:c r="I153" s="28" t="n">
        <x:v>0</x:v>
      </x:c>
      <x:c r="J153" s="28" t="n">
        <x:v>-143.3</x:v>
      </x:c>
      <x:c r="K153" s="27"/>
      <x:c r="L153" s="31" t="str">
        <x:v>ADP NOT LOADED</x:v>
      </x:c>
      <x:c r="M153" s="26" t="str">
        <x:v>Projection-only v1.0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Sean McKeon</x:v>
      </x:c>
      <x:c r="E154" s="26" t="str">
        <x:v>IND</x:v>
      </x:c>
      <x:c r="F154" s="26" t="str">
        <x:v>TE</x:v>
      </x:c>
      <x:c r="G154" s="28" t="n">
        <x:v>0</x:v>
      </x:c>
      <x:c r="H154" s="28" t="n">
        <x:v>-143.3</x:v>
      </x:c>
      <x:c r="I154" s="28" t="n">
        <x:v>0</x:v>
      </x:c>
      <x:c r="J154" s="28" t="n">
        <x:v>-143.3</x:v>
      </x:c>
      <x:c r="K154" s="27"/>
      <x:c r="L154" s="31" t="str">
        <x:v>ADP NOT LOADED</x:v>
      </x:c>
      <x:c r="M154" s="26" t="str">
        <x:v>Projection-only v1.0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Jelani Woods</x:v>
      </x:c>
      <x:c r="E155" s="26" t="str">
        <x:v>NYJ</x:v>
      </x:c>
      <x:c r="F155" s="26" t="str">
        <x:v>TE</x:v>
      </x:c>
      <x:c r="G155" s="28" t="n">
        <x:v>0</x:v>
      </x:c>
      <x:c r="H155" s="28" t="n">
        <x:v>-143.3</x:v>
      </x:c>
      <x:c r="I155" s="28" t="n">
        <x:v>0</x:v>
      </x:c>
      <x:c r="J155" s="28" t="n">
        <x:v>-143.3</x:v>
      </x:c>
      <x:c r="K155" s="27"/>
      <x:c r="L155" s="31" t="str">
        <x:v>ADP NOT LOADED</x:v>
      </x:c>
      <x:c r="M155" s="26" t="str">
        <x:v>Projection-only v1.0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Gavin Bartholomew</x:v>
      </x:c>
      <x:c r="E156" s="26" t="str">
        <x:v>MIN</x:v>
      </x:c>
      <x:c r="F156" s="26" t="str">
        <x:v>TE</x:v>
      </x:c>
      <x:c r="G156" s="28" t="n">
        <x:v>0</x:v>
      </x:c>
      <x:c r="H156" s="28" t="n">
        <x:v>-143.3</x:v>
      </x:c>
      <x:c r="I156" s="28" t="n">
        <x:v>0</x:v>
      </x:c>
      <x:c r="J156" s="28" t="n">
        <x:v>-143.3</x:v>
      </x:c>
      <x:c r="K156" s="27"/>
      <x:c r="L156" s="31" t="str">
        <x:v>ADP NOT LOADED</x:v>
      </x:c>
      <x:c r="M156" s="26" t="str">
        <x:v>Projection-only v1.0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Brenden Bates</x:v>
      </x:c>
      <x:c r="E157" s="26" t="str">
        <x:v>CLE</x:v>
      </x:c>
      <x:c r="F157" s="26" t="str">
        <x:v>TE</x:v>
      </x:c>
      <x:c r="G157" s="28" t="n">
        <x:v>0</x:v>
      </x:c>
      <x:c r="H157" s="28" t="n">
        <x:v>-143.3</x:v>
      </x:c>
      <x:c r="I157" s="28" t="n">
        <x:v>0</x:v>
      </x:c>
      <x:c r="J157" s="28" t="n">
        <x:v>-143.3</x:v>
      </x:c>
      <x:c r="K157" s="27"/>
      <x:c r="L157" s="31" t="str">
        <x:v>ADP NOT LOADED</x:v>
      </x:c>
      <x:c r="M157" s="26" t="str">
        <x:v>Projection-only v1.0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Carsen Ryan</x:v>
      </x:c>
      <x:c r="E158" s="26" t="str">
        <x:v>CLE</x:v>
      </x:c>
      <x:c r="F158" s="26" t="str">
        <x:v>TE</x:v>
      </x:c>
      <x:c r="G158" s="28" t="n">
        <x:v>0</x:v>
      </x:c>
      <x:c r="H158" s="28" t="n">
        <x:v>-143.3</x:v>
      </x:c>
      <x:c r="I158" s="28" t="n">
        <x:v>0</x:v>
      </x:c>
      <x:c r="J158" s="28" t="n">
        <x:v>-143.3</x:v>
      </x:c>
      <x:c r="K158" s="27"/>
      <x:c r="L158" s="31" t="str">
        <x:v>ADP NOT LOADED</x:v>
      </x:c>
      <x:c r="M158" s="26" t="str">
        <x:v>Projection-only v1.0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Albert Okwuegbunam</x:v>
      </x:c>
      <x:c r="E159" s="26" t="str">
        <x:v>LV</x:v>
      </x:c>
      <x:c r="F159" s="26" t="str">
        <x:v>TE</x:v>
      </x:c>
      <x:c r="G159" s="28" t="n">
        <x:v>0</x:v>
      </x:c>
      <x:c r="H159" s="28" t="n">
        <x:v>-143.3</x:v>
      </x:c>
      <x:c r="I159" s="28" t="n">
        <x:v>0</x:v>
      </x:c>
      <x:c r="J159" s="28" t="n">
        <x:v>-143.3</x:v>
      </x:c>
      <x:c r="K159" s="27"/>
      <x:c r="L159" s="31" t="str">
        <x:v>ADP NOT LOADED</x:v>
      </x:c>
      <x:c r="M159" s="26" t="str">
        <x:v>Projection-only v1.0</x:v>
      </x:c>
    </x:row>
  </x:sheetData>
  <x:mergeCells>
    <x:mergeCell ref="A1:M1"/>
    <x:mergeCell ref="A2:M2"/>
  </x:mergeCells>
  <x:conditionalFormatting sqref="B5:B159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3" t="str">
        <x:v>RANKING ASSUMPTIONS</x:v>
      </x:c>
      <x:c r="B1" s="3"/>
      <x:c r="C1" s="3"/>
      <x:c r="D1" s="3"/>
      <x:c r="E1" s="3"/>
      <x:c r="F1" s="3"/>
    </x:row>
    <x:row r="2" ht="28" customHeight="1">
      <x:c r="A2" s="7" t="str">
        <x:v>Editable league and replacement-level inputs. Regenerate the sorted export after changing replacement ranks.</x:v>
      </x:c>
      <x:c r="B2" s="7"/>
      <x:c r="C2" s="7"/>
      <x:c r="D2" s="7"/>
      <x:c r="E2" s="7"/>
      <x:c r="F2" s="7"/>
    </x:row>
    <x:row r="4" ht="24" customHeight="1">
      <x:c r="A4" s="25" t="str">
        <x:v>League Setting</x:v>
      </x:c>
      <x:c r="B4" s="25" t="str">
        <x:v>Value</x:v>
      </x:c>
    </x:row>
    <x:row r="5">
      <x:c r="A5" s="26" t="str">
        <x:v>Teams</x:v>
      </x:c>
      <x:c r="B5" s="27" t="n">
        <x:v>12</x:v>
      </x:c>
    </x:row>
    <x:row r="6">
      <x:c r="A6" s="26" t="str">
        <x:v>Starting QB</x:v>
      </x:c>
      <x:c r="B6" s="27" t="n">
        <x:v>1</x:v>
      </x:c>
    </x:row>
    <x:row r="7">
      <x:c r="A7" s="26" t="str">
        <x:v>Starting RB</x:v>
      </x:c>
      <x:c r="B7" s="27" t="n">
        <x:v>2</x:v>
      </x:c>
    </x:row>
    <x:row r="8">
      <x:c r="A8" s="26" t="str">
        <x:v>Starting WR</x:v>
      </x:c>
      <x:c r="B8" s="27" t="n">
        <x:v>2</x:v>
      </x:c>
    </x:row>
    <x:row r="9">
      <x:c r="A9" s="26" t="str">
        <x:v>Starting TE</x:v>
      </x:c>
      <x:c r="B9" s="27" t="n">
        <x:v>1</x:v>
      </x:c>
    </x:row>
    <x:row r="11" ht="24" customHeight="1">
      <x:c r="A11" s="25" t="str">
        <x:v>Position</x:v>
      </x:c>
      <x:c r="B11" s="25" t="str">
        <x:v>Replacement Rank</x:v>
      </x:c>
      <x:c r="C11" s="25" t="str">
        <x:v>Replacement Points</x:v>
      </x:c>
    </x:row>
    <x:row r="12">
      <x:c r="A12" s="26" t="str">
        <x:v>QB</x:v>
      </x:c>
      <x:c r="B12" s="27" t="n">
        <x:v>13</x:v>
      </x:c>
      <x:c r="C12" s="28" t="n">
        <x:f>XLOOKUP(A12&amp;"|"&amp;B12,'Source Data'!$F$2:$F$616,'Source Data'!$E$2:$E$616)</x:f>
        <x:v>290.6</x:v>
      </x:c>
    </x:row>
    <x:row r="13">
      <x:c r="A13" s="26" t="str">
        <x:v>RB</x:v>
      </x:c>
      <x:c r="B13" s="27" t="n">
        <x:v>37</x:v>
      </x:c>
      <x:c r="C13" s="28" t="n">
        <x:f>XLOOKUP(A13&amp;"|"&amp;B13,'Source Data'!$F$2:$F$616,'Source Data'!$E$2:$E$616)</x:f>
        <x:v>124.5</x:v>
      </x:c>
    </x:row>
    <x:row r="14">
      <x:c r="A14" s="26" t="str">
        <x:v>WR</x:v>
      </x:c>
      <x:c r="B14" s="27" t="n">
        <x:v>49</x:v>
      </x:c>
      <x:c r="C14" s="28" t="n">
        <x:f>XLOOKUP(A14&amp;"|"&amp;B14,'Source Data'!$F$2:$F$616,'Source Data'!$E$2:$E$616)</x:f>
        <x:v>110.6</x:v>
      </x:c>
    </x:row>
    <x:row r="15">
      <x:c r="A15" s="26" t="str">
        <x:v>TE</x:v>
      </x:c>
      <x:c r="B15" s="27" t="n">
        <x:v>13</x:v>
      </x:c>
      <x:c r="C15" s="28" t="n">
        <x:f>XLOOKUP(A15&amp;"|"&amp;B15,'Source Data'!$F$2:$F$616,'Source Data'!$E$2:$E$616)</x:f>
        <x:v>143.3</x:v>
      </x:c>
    </x:row>
    <x:row r="17" ht="24" customHeight="1">
      <x:c r="A17" s="25" t="str">
        <x:v>Overall Tier</x:v>
      </x:c>
      <x:c r="B17" s="25" t="str">
        <x:v>Rank Range</x:v>
      </x:c>
    </x:row>
    <x:row r="18">
      <x:c r="A18" s="26" t="n">
        <x:v>1</x:v>
      </x:c>
      <x:c r="B18" s="26" t="str">
        <x:v>1–8</x:v>
      </x:c>
    </x:row>
    <x:row r="19">
      <x:c r="A19" s="26" t="n">
        <x:v>2</x:v>
      </x:c>
      <x:c r="B19" s="26" t="str">
        <x:v>9–24</x:v>
      </x:c>
    </x:row>
    <x:row r="20">
      <x:c r="A20" s="26" t="n">
        <x:v>3</x:v>
      </x:c>
      <x:c r="B20" s="26" t="str">
        <x:v>25–48</x:v>
      </x:c>
    </x:row>
    <x:row r="21">
      <x:c r="A21" s="26" t="n">
        <x:v>4</x:v>
      </x:c>
      <x:c r="B21" s="26" t="str">
        <x:v>49–72</x:v>
      </x:c>
    </x:row>
    <x:row r="22">
      <x:c r="A22" s="26" t="n">
        <x:v>5</x:v>
      </x:c>
      <x:c r="B22" s="26" t="str">
        <x:v>73–100</x:v>
      </x:c>
    </x:row>
    <x:row r="23">
      <x:c r="A23" s="26" t="n">
        <x:v>6</x:v>
      </x:c>
      <x:c r="B23" s="26" t="str">
        <x:v>101–130</x:v>
      </x:c>
    </x:row>
    <x:row r="24">
      <x:c r="A24" s="26" t="n">
        <x:v>7</x:v>
      </x:c>
      <x:c r="B24" s="26" t="str">
        <x:v>131–165</x:v>
      </x:c>
    </x:row>
    <x:row r="25">
      <x:c r="A25" s="26" t="n">
        <x:v>8</x:v>
      </x:c>
      <x:c r="B25" s="26" t="str">
        <x:v>166–200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  <x:col min="12" max="12" width="16" hidden="0" customWidth="1"/>
    <x:col min="13" max="13" width="16" hidden="0" customWidth="1"/>
  </x:cols>
  <x:sheetData>
    <x:row r="1" ht="34" customHeight="1">
      <x:c r="A1" s="3" t="str">
        <x:v>SOURCE DATA + CALCULATION LEDGER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All players from the frozen projection workbook. Yellow cells are the only manual inputs.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Position</x:v>
      </x:c>
      <x:c r="B4" s="25" t="str">
        <x:v>Pos Rank</x:v>
      </x:c>
      <x:c r="C4" s="25" t="str">
        <x:v>Player</x:v>
      </x:c>
      <x:c r="D4" s="25" t="str">
        <x:v>Team</x:v>
      </x:c>
      <x:c r="E4" s="25" t="str">
        <x:v>Half-PPR Pts</x:v>
      </x:c>
      <x:c r="F4" s="25" t="str">
        <x:v>Key</x:v>
      </x:c>
      <x:c r="G4" s="25" t="str">
        <x:v>Replacement Pts</x:v>
      </x:c>
      <x:c r="H4" s="25" t="str">
        <x:v>VORP</x:v>
      </x:c>
      <x:c r="I4" s="25" t="str">
        <x:v>Manual Adj</x:v>
      </x:c>
      <x:c r="J4" s="25" t="str">
        <x:v>Ranking Score</x:v>
      </x:c>
      <x:c r="K4" s="25" t="str">
        <x:v>Adj Reason</x:v>
      </x:c>
      <x:c r="L4" s="25" t="str">
        <x:v>Overall Rank</x:v>
      </x:c>
      <x:c r="M4" s="25" t="str">
        <x:v>Status</x:v>
      </x:c>
    </x:row>
    <x:row r="5">
      <x:c r="A5" s="26" t="str">
        <x:v>RB</x:v>
      </x:c>
      <x:c r="B5" s="26" t="n">
        <x:v>1</x:v>
      </x:c>
      <x:c r="C5" s="26" t="str">
        <x:v>Jahmyr Gibbs</x:v>
      </x:c>
      <x:c r="D5" s="26" t="str">
        <x:v>DET</x:v>
      </x:c>
      <x:c r="E5" s="28" t="n">
        <x:v>332.2</x:v>
      </x:c>
      <x:c r="F5" s="28" t="str">
        <x:v>RB|1</x:v>
      </x:c>
      <x:c r="G5" s="28" t="n">
        <x:f>XLOOKUP(A5,'Assumptions'!$A$12:$A$15,'Assumptions'!$C$12:$C$15)</x:f>
        <x:v>124.5</x:v>
      </x:c>
      <x:c r="H5" s="28" t="n">
        <x:f>E5-G5</x:f>
        <x:v>207.7</x:v>
      </x:c>
      <x:c r="I5" s="29" t="n">
        <x:v>0</x:v>
      </x:c>
      <x:c r="J5" s="28" t="n">
        <x:f>H5+I5</x:f>
        <x:v>207.7</x:v>
      </x:c>
      <x:c r="K5" s="26" t="str">
        <x:v>Projection-only v1.0</x:v>
      </x:c>
      <x:c r="L5" s="26" t="n">
        <x:f>RANK.EQ(J5,$J$5:$J$619,0)</x:f>
        <x:v>1</x:v>
      </x:c>
      <x:c r="M5" s="26" t="str">
        <x:f>IF(I5=0,"PROJECTION ONLY","EDITORIAL ADJUSTMENT")</x:f>
        <x:v>PROJECTION ONLY</x:v>
      </x:c>
    </x:row>
    <x:row r="6">
      <x:c r="A6" s="26" t="str">
        <x:v>RB</x:v>
      </x:c>
      <x:c r="B6" s="26" t="n">
        <x:v>2</x:v>
      </x:c>
      <x:c r="C6" s="26" t="str">
        <x:v>Bijan Robinson</x:v>
      </x:c>
      <x:c r="D6" s="26" t="str">
        <x:v>ATL</x:v>
      </x:c>
      <x:c r="E6" s="28" t="n">
        <x:v>326.4</x:v>
      </x:c>
      <x:c r="F6" s="28" t="str">
        <x:v>RB|2</x:v>
      </x:c>
      <x:c r="G6" s="28" t="n">
        <x:f>XLOOKUP(A6,'Assumptions'!$A$12:$A$15,'Assumptions'!$C$12:$C$15)</x:f>
        <x:v>124.5</x:v>
      </x:c>
      <x:c r="H6" s="28" t="n">
        <x:f>E6-G6</x:f>
        <x:v>201.89999999999998</x:v>
      </x:c>
      <x:c r="I6" s="29" t="n">
        <x:v>0</x:v>
      </x:c>
      <x:c r="J6" s="28" t="n">
        <x:f>H6+I6</x:f>
        <x:v>201.89999999999998</x:v>
      </x:c>
      <x:c r="K6" s="26" t="str">
        <x:v>Projection-only v1.0</x:v>
      </x:c>
      <x:c r="L6" s="26" t="n">
        <x:f>RANK.EQ(J6,$J$5:$J$619,0)</x:f>
        <x:v>2</x:v>
      </x:c>
      <x:c r="M6" s="26" t="str">
        <x:f>IF(I6=0,"PROJECTION ONLY","EDITORIAL ADJUSTMENT")</x:f>
        <x:v>PROJECTION ONLY</x:v>
      </x:c>
    </x:row>
    <x:row r="7">
      <x:c r="A7" s="26" t="str">
        <x:v>RB</x:v>
      </x:c>
      <x:c r="B7" s="26" t="n">
        <x:v>3</x:v>
      </x:c>
      <x:c r="C7" s="26" t="str">
        <x:v>Christian McCaffrey</x:v>
      </x:c>
      <x:c r="D7" s="26" t="str">
        <x:v>SF</x:v>
      </x:c>
      <x:c r="E7" s="28" t="n">
        <x:v>288.1</x:v>
      </x:c>
      <x:c r="F7" s="28" t="str">
        <x:v>RB|3</x:v>
      </x:c>
      <x:c r="G7" s="28" t="n">
        <x:f>XLOOKUP(A7,'Assumptions'!$A$12:$A$15,'Assumptions'!$C$12:$C$15)</x:f>
        <x:v>124.5</x:v>
      </x:c>
      <x:c r="H7" s="28" t="n">
        <x:f>E7-G7</x:f>
        <x:v>163.60000000000002</x:v>
      </x:c>
      <x:c r="I7" s="29" t="n">
        <x:v>0</x:v>
      </x:c>
      <x:c r="J7" s="28" t="n">
        <x:f>H7+I7</x:f>
        <x:v>163.60000000000002</x:v>
      </x:c>
      <x:c r="K7" s="26" t="str">
        <x:v>Projection-only v1.0</x:v>
      </x:c>
      <x:c r="L7" s="26" t="n">
        <x:f>RANK.EQ(J7,$J$5:$J$619,0)</x:f>
        <x:v>5</x:v>
      </x:c>
      <x:c r="M7" s="26" t="str">
        <x:f>IF(I7=0,"PROJECTION ONLY","EDITORIAL ADJUSTMENT")</x:f>
        <x:v>PROJECTION ONLY</x:v>
      </x:c>
    </x:row>
    <x:row r="8">
      <x:c r="A8" s="26" t="str">
        <x:v>RB</x:v>
      </x:c>
      <x:c r="B8" s="26" t="n">
        <x:v>4</x:v>
      </x:c>
      <x:c r="C8" s="26" t="str">
        <x:v>Jonathan Taylor</x:v>
      </x:c>
      <x:c r="D8" s="26" t="str">
        <x:v>IND</x:v>
      </x:c>
      <x:c r="E8" s="28" t="n">
        <x:v>285.8</x:v>
      </x:c>
      <x:c r="F8" s="28" t="str">
        <x:v>RB|4</x:v>
      </x:c>
      <x:c r="G8" s="28" t="n">
        <x:f>XLOOKUP(A8,'Assumptions'!$A$12:$A$15,'Assumptions'!$C$12:$C$15)</x:f>
        <x:v>124.5</x:v>
      </x:c>
      <x:c r="H8" s="28" t="n">
        <x:f>E8-G8</x:f>
        <x:v>161.3</x:v>
      </x:c>
      <x:c r="I8" s="29" t="n">
        <x:v>0</x:v>
      </x:c>
      <x:c r="J8" s="28" t="n">
        <x:f>H8+I8</x:f>
        <x:v>161.3</x:v>
      </x:c>
      <x:c r="K8" s="26" t="str">
        <x:v>Projection-only v1.0</x:v>
      </x:c>
      <x:c r="L8" s="26" t="n">
        <x:f>RANK.EQ(J8,$J$5:$J$619,0)</x:f>
        <x:v>6</x:v>
      </x:c>
      <x:c r="M8" s="26" t="str">
        <x:f>IF(I8=0,"PROJECTION ONLY","EDITORIAL ADJUSTMENT")</x:f>
        <x:v>PROJECTION ONLY</x:v>
      </x:c>
    </x:row>
    <x:row r="9">
      <x:c r="A9" s="26" t="str">
        <x:v>RB</x:v>
      </x:c>
      <x:c r="B9" s="26" t="n">
        <x:v>5</x:v>
      </x:c>
      <x:c r="C9" s="26" t="str">
        <x:v>Omarion Hampton</x:v>
      </x:c>
      <x:c r="D9" s="26" t="str">
        <x:v>LAC</x:v>
      </x:c>
      <x:c r="E9" s="28" t="n">
        <x:v>261.3</x:v>
      </x:c>
      <x:c r="F9" s="28" t="str">
        <x:v>RB|5</x:v>
      </x:c>
      <x:c r="G9" s="28" t="n">
        <x:f>XLOOKUP(A9,'Assumptions'!$A$12:$A$15,'Assumptions'!$C$12:$C$15)</x:f>
        <x:v>124.5</x:v>
      </x:c>
      <x:c r="H9" s="28" t="n">
        <x:f>E9-G9</x:f>
        <x:v>136.8</x:v>
      </x:c>
      <x:c r="I9" s="29" t="n">
        <x:v>0</x:v>
      </x:c>
      <x:c r="J9" s="28" t="n">
        <x:f>H9+I9</x:f>
        <x:v>136.8</x:v>
      </x:c>
      <x:c r="K9" s="26" t="str">
        <x:v>Projection-only v1.0</x:v>
      </x:c>
      <x:c r="L9" s="26" t="n">
        <x:f>RANK.EQ(J9,$J$5:$J$619,0)</x:f>
        <x:v>9</x:v>
      </x:c>
      <x:c r="M9" s="26" t="str">
        <x:f>IF(I9=0,"PROJECTION ONLY","EDITORIAL ADJUSTMENT")</x:f>
        <x:v>PROJECTION ONLY</x:v>
      </x:c>
    </x:row>
    <x:row r="10">
      <x:c r="A10" s="26" t="str">
        <x:v>RB</x:v>
      </x:c>
      <x:c r="B10" s="26" t="n">
        <x:v>6</x:v>
      </x:c>
      <x:c r="C10" s="26" t="str">
        <x:v>De'Von Achane</x:v>
      </x:c>
      <x:c r="D10" s="26" t="str">
        <x:v>MIA</x:v>
      </x:c>
      <x:c r="E10" s="28" t="n">
        <x:v>256.1</x:v>
      </x:c>
      <x:c r="F10" s="28" t="str">
        <x:v>RB|6</x:v>
      </x:c>
      <x:c r="G10" s="28" t="n">
        <x:f>XLOOKUP(A10,'Assumptions'!$A$12:$A$15,'Assumptions'!$C$12:$C$15)</x:f>
        <x:v>124.5</x:v>
      </x:c>
      <x:c r="H10" s="28" t="n">
        <x:f>E10-G10</x:f>
        <x:v>131.60000000000002</x:v>
      </x:c>
      <x:c r="I10" s="29" t="n">
        <x:v>0</x:v>
      </x:c>
      <x:c r="J10" s="28" t="n">
        <x:f>H10+I10</x:f>
        <x:v>131.60000000000002</x:v>
      </x:c>
      <x:c r="K10" s="26" t="str">
        <x:v>Projection-only v1.0</x:v>
      </x:c>
      <x:c r="L10" s="26" t="n">
        <x:f>RANK.EQ(J10,$J$5:$J$619,0)</x:f>
        <x:v>11</x:v>
      </x:c>
      <x:c r="M10" s="26" t="str">
        <x:f>IF(I10=0,"PROJECTION ONLY","EDITORIAL ADJUSTMENT")</x:f>
        <x:v>PROJECTION ONLY</x:v>
      </x:c>
    </x:row>
    <x:row r="11">
      <x:c r="A11" s="26" t="str">
        <x:v>RB</x:v>
      </x:c>
      <x:c r="B11" s="26" t="n">
        <x:v>7</x:v>
      </x:c>
      <x:c r="C11" s="26" t="str">
        <x:v>Chase Brown</x:v>
      </x:c>
      <x:c r="D11" s="26" t="str">
        <x:v>CIN</x:v>
      </x:c>
      <x:c r="E11" s="28" t="n">
        <x:v>247.4</x:v>
      </x:c>
      <x:c r="F11" s="28" t="str">
        <x:v>RB|7</x:v>
      </x:c>
      <x:c r="G11" s="28" t="n">
        <x:f>XLOOKUP(A11,'Assumptions'!$A$12:$A$15,'Assumptions'!$C$12:$C$15)</x:f>
        <x:v>124.5</x:v>
      </x:c>
      <x:c r="H11" s="28" t="n">
        <x:f>E11-G11</x:f>
        <x:v>122.9</x:v>
      </x:c>
      <x:c r="I11" s="29" t="n">
        <x:v>0</x:v>
      </x:c>
      <x:c r="J11" s="28" t="n">
        <x:f>H11+I11</x:f>
        <x:v>122.9</x:v>
      </x:c>
      <x:c r="K11" s="26" t="str">
        <x:v>Projection-only v1.0</x:v>
      </x:c>
      <x:c r="L11" s="26" t="n">
        <x:f>RANK.EQ(J11,$J$5:$J$619,0)</x:f>
        <x:v>14</x:v>
      </x:c>
      <x:c r="M11" s="26" t="str">
        <x:f>IF(I11=0,"PROJECTION ONLY","EDITORIAL ADJUSTMENT")</x:f>
        <x:v>PROJECTION ONLY</x:v>
      </x:c>
    </x:row>
    <x:row r="12">
      <x:c r="A12" s="26" t="str">
        <x:v>RB</x:v>
      </x:c>
      <x:c r="B12" s="26" t="n">
        <x:v>8</x:v>
      </x:c>
      <x:c r="C12" s="26" t="str">
        <x:v>Ashton Jeanty</x:v>
      </x:c>
      <x:c r="D12" s="26" t="str">
        <x:v>LV</x:v>
      </x:c>
      <x:c r="E12" s="28" t="n">
        <x:v>246</x:v>
      </x:c>
      <x:c r="F12" s="28" t="str">
        <x:v>RB|8</x:v>
      </x:c>
      <x:c r="G12" s="28" t="n">
        <x:f>XLOOKUP(A12,'Assumptions'!$A$12:$A$15,'Assumptions'!$C$12:$C$15)</x:f>
        <x:v>124.5</x:v>
      </x:c>
      <x:c r="H12" s="28" t="n">
        <x:f>E12-G12</x:f>
        <x:v>121.5</x:v>
      </x:c>
      <x:c r="I12" s="29" t="n">
        <x:v>0</x:v>
      </x:c>
      <x:c r="J12" s="28" t="n">
        <x:f>H12+I12</x:f>
        <x:v>121.5</x:v>
      </x:c>
      <x:c r="K12" s="26" t="str">
        <x:v>Projection-only v1.0</x:v>
      </x:c>
      <x:c r="L12" s="26" t="n">
        <x:f>RANK.EQ(J12,$J$5:$J$619,0)</x:f>
        <x:v>15</x:v>
      </x:c>
      <x:c r="M12" s="26" t="str">
        <x:f>IF(I12=0,"PROJECTION ONLY","EDITORIAL ADJUSTMENT")</x:f>
        <x:v>PROJECTION ONLY</x:v>
      </x:c>
    </x:row>
    <x:row r="13">
      <x:c r="A13" s="26" t="str">
        <x:v>RB</x:v>
      </x:c>
      <x:c r="B13" s="26" t="n">
        <x:v>9</x:v>
      </x:c>
      <x:c r="C13" s="26" t="str">
        <x:v>James Cook III</x:v>
      </x:c>
      <x:c r="D13" s="26" t="str">
        <x:v>BUF</x:v>
      </x:c>
      <x:c r="E13" s="28" t="n">
        <x:v>255.2</x:v>
      </x:c>
      <x:c r="F13" s="28" t="str">
        <x:v>RB|9</x:v>
      </x:c>
      <x:c r="G13" s="28" t="n">
        <x:f>XLOOKUP(A13,'Assumptions'!$A$12:$A$15,'Assumptions'!$C$12:$C$15)</x:f>
        <x:v>124.5</x:v>
      </x:c>
      <x:c r="H13" s="28" t="n">
        <x:f>E13-G13</x:f>
        <x:v>130.7</x:v>
      </x:c>
      <x:c r="I13" s="29" t="n">
        <x:v>0</x:v>
      </x:c>
      <x:c r="J13" s="28" t="n">
        <x:f>H13+I13</x:f>
        <x:v>130.7</x:v>
      </x:c>
      <x:c r="K13" s="26" t="str">
        <x:v>Projection-only v1.0</x:v>
      </x:c>
      <x:c r="L13" s="26" t="n">
        <x:f>RANK.EQ(J13,$J$5:$J$619,0)</x:f>
        <x:v>12</x:v>
      </x:c>
      <x:c r="M13" s="26" t="str">
        <x:f>IF(I13=0,"PROJECTION ONLY","EDITORIAL ADJUSTMENT")</x:f>
        <x:v>PROJECTION ONLY</x:v>
      </x:c>
    </x:row>
    <x:row r="14">
      <x:c r="A14" s="26" t="str">
        <x:v>RB</x:v>
      </x:c>
      <x:c r="B14" s="26" t="n">
        <x:v>10</x:v>
      </x:c>
      <x:c r="C14" s="26" t="str">
        <x:v>Kenneth Walker III</x:v>
      </x:c>
      <x:c r="D14" s="26" t="str">
        <x:v>KC</x:v>
      </x:c>
      <x:c r="E14" s="28" t="n">
        <x:v>247.9</x:v>
      </x:c>
      <x:c r="F14" s="28" t="str">
        <x:v>RB|10</x:v>
      </x:c>
      <x:c r="G14" s="28" t="n">
        <x:f>XLOOKUP(A14,'Assumptions'!$A$12:$A$15,'Assumptions'!$C$12:$C$15)</x:f>
        <x:v>124.5</x:v>
      </x:c>
      <x:c r="H14" s="28" t="n">
        <x:f>E14-G14</x:f>
        <x:v>123.4</x:v>
      </x:c>
      <x:c r="I14" s="29" t="n">
        <x:v>0</x:v>
      </x:c>
      <x:c r="J14" s="28" t="n">
        <x:f>H14+I14</x:f>
        <x:v>123.4</x:v>
      </x:c>
      <x:c r="K14" s="26" t="str">
        <x:v>Projection-only v1.0</x:v>
      </x:c>
      <x:c r="L14" s="26" t="n">
        <x:f>RANK.EQ(J14,$J$5:$J$619,0)</x:f>
        <x:v>13</x:v>
      </x:c>
      <x:c r="M14" s="26" t="str">
        <x:f>IF(I14=0,"PROJECTION ONLY","EDITORIAL ADJUSTMENT")</x:f>
        <x:v>PROJECTION ONLY</x:v>
      </x:c>
    </x:row>
    <x:row r="15">
      <x:c r="A15" s="26" t="str">
        <x:v>RB</x:v>
      </x:c>
      <x:c r="B15" s="26" t="n">
        <x:v>11</x:v>
      </x:c>
      <x:c r="C15" s="26" t="str">
        <x:v>Derrick Henry</x:v>
      </x:c>
      <x:c r="D15" s="26" t="str">
        <x:v>BAL</x:v>
      </x:c>
      <x:c r="E15" s="28" t="n">
        <x:v>256.7</x:v>
      </x:c>
      <x:c r="F15" s="28" t="str">
        <x:v>RB|11</x:v>
      </x:c>
      <x:c r="G15" s="28" t="n">
        <x:f>XLOOKUP(A15,'Assumptions'!$A$12:$A$15,'Assumptions'!$C$12:$C$15)</x:f>
        <x:v>124.5</x:v>
      </x:c>
      <x:c r="H15" s="28" t="n">
        <x:f>E15-G15</x:f>
        <x:v>132.2</x:v>
      </x:c>
      <x:c r="I15" s="29" t="n">
        <x:v>0</x:v>
      </x:c>
      <x:c r="J15" s="28" t="n">
        <x:f>H15+I15</x:f>
        <x:v>132.2</x:v>
      </x:c>
      <x:c r="K15" s="26" t="str">
        <x:v>Projection-only v1.0</x:v>
      </x:c>
      <x:c r="L15" s="26" t="n">
        <x:f>RANK.EQ(J15,$J$5:$J$619,0)</x:f>
        <x:v>10</x:v>
      </x:c>
      <x:c r="M15" s="26" t="str">
        <x:f>IF(I15=0,"PROJECTION ONLY","EDITORIAL ADJUSTMENT")</x:f>
        <x:v>PROJECTION ONLY</x:v>
      </x:c>
    </x:row>
    <x:row r="16">
      <x:c r="A16" s="26" t="str">
        <x:v>RB</x:v>
      </x:c>
      <x:c r="B16" s="26" t="n">
        <x:v>12</x:v>
      </x:c>
      <x:c r="C16" s="26" t="str">
        <x:v>Saquon Barkley</x:v>
      </x:c>
      <x:c r="D16" s="26" t="str">
        <x:v>PHI</x:v>
      </x:c>
      <x:c r="E16" s="28" t="n">
        <x:v>243</x:v>
      </x:c>
      <x:c r="F16" s="28" t="str">
        <x:v>RB|12</x:v>
      </x:c>
      <x:c r="G16" s="28" t="n">
        <x:f>XLOOKUP(A16,'Assumptions'!$A$12:$A$15,'Assumptions'!$C$12:$C$15)</x:f>
        <x:v>124.5</x:v>
      </x:c>
      <x:c r="H16" s="28" t="n">
        <x:f>E16-G16</x:f>
        <x:v>118.5</x:v>
      </x:c>
      <x:c r="I16" s="29" t="n">
        <x:v>0</x:v>
      </x:c>
      <x:c r="J16" s="28" t="n">
        <x:f>H16+I16</x:f>
        <x:v>118.5</x:v>
      </x:c>
      <x:c r="K16" s="26" t="str">
        <x:v>Projection-only v1.0</x:v>
      </x:c>
      <x:c r="L16" s="26" t="n">
        <x:f>RANK.EQ(J16,$J$5:$J$619,0)</x:f>
        <x:v>17</x:v>
      </x:c>
      <x:c r="M16" s="26" t="str">
        <x:f>IF(I16=0,"PROJECTION ONLY","EDITORIAL ADJUSTMENT")</x:f>
        <x:v>PROJECTION ONLY</x:v>
      </x:c>
    </x:row>
    <x:row r="17">
      <x:c r="A17" s="26" t="str">
        <x:v>RB</x:v>
      </x:c>
      <x:c r="B17" s="26" t="n">
        <x:v>13</x:v>
      </x:c>
      <x:c r="C17" s="26" t="str">
        <x:v>Josh Jacobs</x:v>
      </x:c>
      <x:c r="D17" s="26" t="str">
        <x:v>GB</x:v>
      </x:c>
      <x:c r="E17" s="28" t="n">
        <x:v>234.9</x:v>
      </x:c>
      <x:c r="F17" s="28" t="str">
        <x:v>RB|13</x:v>
      </x:c>
      <x:c r="G17" s="28" t="n">
        <x:f>XLOOKUP(A17,'Assumptions'!$A$12:$A$15,'Assumptions'!$C$12:$C$15)</x:f>
        <x:v>124.5</x:v>
      </x:c>
      <x:c r="H17" s="28" t="n">
        <x:f>E17-G17</x:f>
        <x:v>110.4</x:v>
      </x:c>
      <x:c r="I17" s="29" t="n">
        <x:v>0</x:v>
      </x:c>
      <x:c r="J17" s="28" t="n">
        <x:f>H17+I17</x:f>
        <x:v>110.4</x:v>
      </x:c>
      <x:c r="K17" s="26" t="str">
        <x:v>Projection-only v1.0</x:v>
      </x:c>
      <x:c r="L17" s="26" t="n">
        <x:f>RANK.EQ(J17,$J$5:$J$619,0)</x:f>
        <x:v>20</x:v>
      </x:c>
      <x:c r="M17" s="26" t="str">
        <x:f>IF(I17=0,"PROJECTION ONLY","EDITORIAL ADJUSTMENT")</x:f>
        <x:v>PROJECTION ONLY</x:v>
      </x:c>
    </x:row>
    <x:row r="18">
      <x:c r="A18" s="26" t="str">
        <x:v>RB</x:v>
      </x:c>
      <x:c r="B18" s="26" t="n">
        <x:v>14</x:v>
      </x:c>
      <x:c r="C18" s="26" t="str">
        <x:v>Javonte Williams</x:v>
      </x:c>
      <x:c r="D18" s="26" t="str">
        <x:v>DAL</x:v>
      </x:c>
      <x:c r="E18" s="28" t="n">
        <x:v>229.5</x:v>
      </x:c>
      <x:c r="F18" s="28" t="str">
        <x:v>RB|14</x:v>
      </x:c>
      <x:c r="G18" s="28" t="n">
        <x:f>XLOOKUP(A18,'Assumptions'!$A$12:$A$15,'Assumptions'!$C$12:$C$15)</x:f>
        <x:v>124.5</x:v>
      </x:c>
      <x:c r="H18" s="28" t="n">
        <x:f>E18-G18</x:f>
        <x:v>105</x:v>
      </x:c>
      <x:c r="I18" s="29" t="n">
        <x:v>0</x:v>
      </x:c>
      <x:c r="J18" s="28" t="n">
        <x:f>H18+I18</x:f>
        <x:v>105</x:v>
      </x:c>
      <x:c r="K18" s="26" t="str">
        <x:v>Projection-only v1.0</x:v>
      </x:c>
      <x:c r="L18" s="26" t="n">
        <x:f>RANK.EQ(J18,$J$5:$J$619,0)</x:f>
        <x:v>21</x:v>
      </x:c>
      <x:c r="M18" s="26" t="str">
        <x:f>IF(I18=0,"PROJECTION ONLY","EDITORIAL ADJUSTMENT")</x:f>
        <x:v>PROJECTION ONLY</x:v>
      </x:c>
    </x:row>
    <x:row r="19">
      <x:c r="A19" s="26" t="str">
        <x:v>RB</x:v>
      </x:c>
      <x:c r="B19" s="26" t="n">
        <x:v>15</x:v>
      </x:c>
      <x:c r="C19" s="26" t="str">
        <x:v>Kyren Williams</x:v>
      </x:c>
      <x:c r="D19" s="26" t="str">
        <x:v>LAR</x:v>
      </x:c>
      <x:c r="E19" s="28" t="n">
        <x:v>226.2</x:v>
      </x:c>
      <x:c r="F19" s="28" t="str">
        <x:v>RB|15</x:v>
      </x:c>
      <x:c r="G19" s="28" t="n">
        <x:f>XLOOKUP(A19,'Assumptions'!$A$12:$A$15,'Assumptions'!$C$12:$C$15)</x:f>
        <x:v>124.5</x:v>
      </x:c>
      <x:c r="H19" s="28" t="n">
        <x:f>E19-G19</x:f>
        <x:v>101.69999999999999</x:v>
      </x:c>
      <x:c r="I19" s="29" t="n">
        <x:v>0</x:v>
      </x:c>
      <x:c r="J19" s="28" t="n">
        <x:f>H19+I19</x:f>
        <x:v>101.69999999999999</x:v>
      </x:c>
      <x:c r="K19" s="26" t="str">
        <x:v>Projection-only v1.0</x:v>
      </x:c>
      <x:c r="L19" s="26" t="n">
        <x:f>RANK.EQ(J19,$J$5:$J$619,0)</x:f>
        <x:v>23</x:v>
      </x:c>
      <x:c r="M19" s="26" t="str">
        <x:f>IF(I19=0,"PROJECTION ONLY","EDITORIAL ADJUSTMENT")</x:f>
        <x:v>PROJECTION ONLY</x:v>
      </x:c>
    </x:row>
    <x:row r="20">
      <x:c r="A20" s="26" t="str">
        <x:v>RB</x:v>
      </x:c>
      <x:c r="B20" s="26" t="n">
        <x:v>16</x:v>
      </x:c>
      <x:c r="C20" s="26" t="str">
        <x:v>Breece Hall</x:v>
      </x:c>
      <x:c r="D20" s="26" t="str">
        <x:v>NYJ</x:v>
      </x:c>
      <x:c r="E20" s="28" t="n">
        <x:v>215.7</x:v>
      </x:c>
      <x:c r="F20" s="28" t="str">
        <x:v>RB|16</x:v>
      </x:c>
      <x:c r="G20" s="28" t="n">
        <x:f>XLOOKUP(A20,'Assumptions'!$A$12:$A$15,'Assumptions'!$C$12:$C$15)</x:f>
        <x:v>124.5</x:v>
      </x:c>
      <x:c r="H20" s="28" t="n">
        <x:f>E20-G20</x:f>
        <x:v>91.19999999999999</x:v>
      </x:c>
      <x:c r="I20" s="29" t="n">
        <x:v>0</x:v>
      </x:c>
      <x:c r="J20" s="28" t="n">
        <x:f>H20+I20</x:f>
        <x:v>91.19999999999999</x:v>
      </x:c>
      <x:c r="K20" s="26" t="str">
        <x:v>Projection-only v1.0</x:v>
      </x:c>
      <x:c r="L20" s="26" t="n">
        <x:f>RANK.EQ(J20,$J$5:$J$619,0)</x:f>
        <x:v>29</x:v>
      </x:c>
      <x:c r="M20" s="26" t="str">
        <x:f>IF(I20=0,"PROJECTION ONLY","EDITORIAL ADJUSTMENT")</x:f>
        <x:v>PROJECTION ONLY</x:v>
      </x:c>
    </x:row>
    <x:row r="21">
      <x:c r="A21" s="26" t="str">
        <x:v>RB</x:v>
      </x:c>
      <x:c r="B21" s="26" t="n">
        <x:v>17</x:v>
      </x:c>
      <x:c r="C21" s="26" t="str">
        <x:v>D'Andre Swift</x:v>
      </x:c>
      <x:c r="D21" s="26" t="str">
        <x:v>CHI</x:v>
      </x:c>
      <x:c r="E21" s="28" t="n">
        <x:v>205.6</x:v>
      </x:c>
      <x:c r="F21" s="28" t="str">
        <x:v>RB|17</x:v>
      </x:c>
      <x:c r="G21" s="28" t="n">
        <x:f>XLOOKUP(A21,'Assumptions'!$A$12:$A$15,'Assumptions'!$C$12:$C$15)</x:f>
        <x:v>124.5</x:v>
      </x:c>
      <x:c r="H21" s="28" t="n">
        <x:f>E21-G21</x:f>
        <x:v>81.1</x:v>
      </x:c>
      <x:c r="I21" s="29" t="n">
        <x:v>0</x:v>
      </x:c>
      <x:c r="J21" s="28" t="n">
        <x:f>H21+I21</x:f>
        <x:v>81.1</x:v>
      </x:c>
      <x:c r="K21" s="26" t="str">
        <x:v>Projection-only v1.0</x:v>
      </x:c>
      <x:c r="L21" s="26" t="n">
        <x:f>RANK.EQ(J21,$J$5:$J$619,0)</x:f>
        <x:v>30</x:v>
      </x:c>
      <x:c r="M21" s="26" t="str">
        <x:f>IF(I21=0,"PROJECTION ONLY","EDITORIAL ADJUSTMENT")</x:f>
        <x:v>PROJECTION ONLY</x:v>
      </x:c>
    </x:row>
    <x:row r="22">
      <x:c r="A22" s="26" t="str">
        <x:v>RB</x:v>
      </x:c>
      <x:c r="B22" s="26" t="n">
        <x:v>18</x:v>
      </x:c>
      <x:c r="C22" s="26" t="str">
        <x:v>Jeremiyah Love</x:v>
      </x:c>
      <x:c r="D22" s="26" t="str">
        <x:v>ARI</x:v>
      </x:c>
      <x:c r="E22" s="28" t="n">
        <x:v>201.4</x:v>
      </x:c>
      <x:c r="F22" s="28" t="str">
        <x:v>RB|18</x:v>
      </x:c>
      <x:c r="G22" s="28" t="n">
        <x:f>XLOOKUP(A22,'Assumptions'!$A$12:$A$15,'Assumptions'!$C$12:$C$15)</x:f>
        <x:v>124.5</x:v>
      </x:c>
      <x:c r="H22" s="28" t="n">
        <x:f>E22-G22</x:f>
        <x:v>76.9</x:v>
      </x:c>
      <x:c r="I22" s="29" t="n">
        <x:v>0</x:v>
      </x:c>
      <x:c r="J22" s="28" t="n">
        <x:f>H22+I22</x:f>
        <x:v>76.9</x:v>
      </x:c>
      <x:c r="K22" s="26" t="str">
        <x:v>Projection-only v1.0</x:v>
      </x:c>
      <x:c r="L22" s="26" t="n">
        <x:f>RANK.EQ(J22,$J$5:$J$619,0)</x:f>
        <x:v>32</x:v>
      </x:c>
      <x:c r="M22" s="26" t="str">
        <x:f>IF(I22=0,"PROJECTION ONLY","EDITORIAL ADJUSTMENT")</x:f>
        <x:v>PROJECTION ONLY</x:v>
      </x:c>
    </x:row>
    <x:row r="23">
      <x:c r="A23" s="26" t="str">
        <x:v>RB</x:v>
      </x:c>
      <x:c r="B23" s="26" t="n">
        <x:v>19</x:v>
      </x:c>
      <x:c r="C23" s="26" t="str">
        <x:v>Bucky Irving</x:v>
      </x:c>
      <x:c r="D23" s="26" t="str">
        <x:v>TB</x:v>
      </x:c>
      <x:c r="E23" s="28" t="n">
        <x:v>190.9</x:v>
      </x:c>
      <x:c r="F23" s="28" t="str">
        <x:v>RB|19</x:v>
      </x:c>
      <x:c r="G23" s="28" t="n">
        <x:f>XLOOKUP(A23,'Assumptions'!$A$12:$A$15,'Assumptions'!$C$12:$C$15)</x:f>
        <x:v>124.5</x:v>
      </x:c>
      <x:c r="H23" s="28" t="n">
        <x:f>E23-G23</x:f>
        <x:v>66.4</x:v>
      </x:c>
      <x:c r="I23" s="29" t="n">
        <x:v>0</x:v>
      </x:c>
      <x:c r="J23" s="28" t="n">
        <x:f>H23+I23</x:f>
        <x:v>66.4</x:v>
      </x:c>
      <x:c r="K23" s="26" t="str">
        <x:v>Projection-only v1.0</x:v>
      </x:c>
      <x:c r="L23" s="26" t="n">
        <x:f>RANK.EQ(J23,$J$5:$J$619,0)</x:f>
        <x:v>41</x:v>
      </x:c>
      <x:c r="M23" s="26" t="str">
        <x:f>IF(I23=0,"PROJECTION ONLY","EDITORIAL ADJUSTMENT")</x:f>
        <x:v>PROJECTION ONLY</x:v>
      </x:c>
    </x:row>
    <x:row r="24">
      <x:c r="A24" s="26" t="str">
        <x:v>RB</x:v>
      </x:c>
      <x:c r="B24" s="26" t="n">
        <x:v>20</x:v>
      </x:c>
      <x:c r="C24" s="26" t="str">
        <x:v>TreVeyon Henderson</x:v>
      </x:c>
      <x:c r="D24" s="26" t="str">
        <x:v>NE</x:v>
      </x:c>
      <x:c r="E24" s="28" t="n">
        <x:v>186.2</x:v>
      </x:c>
      <x:c r="F24" s="28" t="str">
        <x:v>RB|20</x:v>
      </x:c>
      <x:c r="G24" s="28" t="n">
        <x:f>XLOOKUP(A24,'Assumptions'!$A$12:$A$15,'Assumptions'!$C$12:$C$15)</x:f>
        <x:v>124.5</x:v>
      </x:c>
      <x:c r="H24" s="28" t="n">
        <x:f>E24-G24</x:f>
        <x:v>61.69999999999999</x:v>
      </x:c>
      <x:c r="I24" s="29" t="n">
        <x:v>0</x:v>
      </x:c>
      <x:c r="J24" s="28" t="n">
        <x:f>H24+I24</x:f>
        <x:v>61.69999999999999</x:v>
      </x:c>
      <x:c r="K24" s="26" t="str">
        <x:v>Projection-only v1.0</x:v>
      </x:c>
      <x:c r="L24" s="26" t="n">
        <x:f>RANK.EQ(J24,$J$5:$J$619,0)</x:f>
        <x:v>44</x:v>
      </x:c>
      <x:c r="M24" s="26" t="str">
        <x:f>IF(I24=0,"PROJECTION ONLY","EDITORIAL ADJUSTMENT")</x:f>
        <x:v>PROJECTION ONLY</x:v>
      </x:c>
    </x:row>
    <x:row r="25">
      <x:c r="A25" s="26" t="str">
        <x:v>RB</x:v>
      </x:c>
      <x:c r="B25" s="26" t="n">
        <x:v>21</x:v>
      </x:c>
      <x:c r="C25" s="26" t="str">
        <x:v>David Montgomery</x:v>
      </x:c>
      <x:c r="D25" s="26" t="str">
        <x:v>HOU</x:v>
      </x:c>
      <x:c r="E25" s="28" t="n">
        <x:v>191.4</x:v>
      </x:c>
      <x:c r="F25" s="28" t="str">
        <x:v>RB|21</x:v>
      </x:c>
      <x:c r="G25" s="28" t="n">
        <x:f>XLOOKUP(A25,'Assumptions'!$A$12:$A$15,'Assumptions'!$C$12:$C$15)</x:f>
        <x:v>124.5</x:v>
      </x:c>
      <x:c r="H25" s="28" t="n">
        <x:f>E25-G25</x:f>
        <x:v>66.9</x:v>
      </x:c>
      <x:c r="I25" s="29" t="n">
        <x:v>0</x:v>
      </x:c>
      <x:c r="J25" s="28" t="n">
        <x:f>H25+I25</x:f>
        <x:v>66.9</x:v>
      </x:c>
      <x:c r="K25" s="26" t="str">
        <x:v>Projection-only v1.0</x:v>
      </x:c>
      <x:c r="L25" s="26" t="n">
        <x:f>RANK.EQ(J25,$J$5:$J$619,0)</x:f>
        <x:v>39</x:v>
      </x:c>
      <x:c r="M25" s="26" t="str">
        <x:f>IF(I25=0,"PROJECTION ONLY","EDITORIAL ADJUSTMENT")</x:f>
        <x:v>PROJECTION ONLY</x:v>
      </x:c>
    </x:row>
    <x:row r="26">
      <x:c r="A26" s="26" t="str">
        <x:v>RB</x:v>
      </x:c>
      <x:c r="B26" s="26" t="n">
        <x:v>22</x:v>
      </x:c>
      <x:c r="C26" s="26" t="str">
        <x:v>Travis Etienne Jr.</x:v>
      </x:c>
      <x:c r="D26" s="26" t="str">
        <x:v>NO</x:v>
      </x:c>
      <x:c r="E26" s="28" t="n">
        <x:v>183.5</x:v>
      </x:c>
      <x:c r="F26" s="28" t="str">
        <x:v>RB|22</x:v>
      </x:c>
      <x:c r="G26" s="28" t="n">
        <x:f>XLOOKUP(A26,'Assumptions'!$A$12:$A$15,'Assumptions'!$C$12:$C$15)</x:f>
        <x:v>124.5</x:v>
      </x:c>
      <x:c r="H26" s="28" t="n">
        <x:f>E26-G26</x:f>
        <x:v>59</x:v>
      </x:c>
      <x:c r="I26" s="29" t="n">
        <x:v>0</x:v>
      </x:c>
      <x:c r="J26" s="28" t="n">
        <x:f>H26+I26</x:f>
        <x:v>59</x:v>
      </x:c>
      <x:c r="K26" s="26" t="str">
        <x:v>Projection-only v1.0</x:v>
      </x:c>
      <x:c r="L26" s="26" t="n">
        <x:f>RANK.EQ(J26,$J$5:$J$619,0)</x:f>
        <x:v>49</x:v>
      </x:c>
      <x:c r="M26" s="26" t="str">
        <x:f>IF(I26=0,"PROJECTION ONLY","EDITORIAL ADJUSTMENT")</x:f>
        <x:v>PROJECTION ONLY</x:v>
      </x:c>
    </x:row>
    <x:row r="27">
      <x:c r="A27" s="26" t="str">
        <x:v>RB</x:v>
      </x:c>
      <x:c r="B27" s="26" t="n">
        <x:v>23</x:v>
      </x:c>
      <x:c r="C27" s="26" t="str">
        <x:v>Quinshon Judkins</x:v>
      </x:c>
      <x:c r="D27" s="26" t="str">
        <x:v>CLE</x:v>
      </x:c>
      <x:c r="E27" s="28" t="n">
        <x:v>184</x:v>
      </x:c>
      <x:c r="F27" s="28" t="str">
        <x:v>RB|23</x:v>
      </x:c>
      <x:c r="G27" s="28" t="n">
        <x:f>XLOOKUP(A27,'Assumptions'!$A$12:$A$15,'Assumptions'!$C$12:$C$15)</x:f>
        <x:v>124.5</x:v>
      </x:c>
      <x:c r="H27" s="28" t="n">
        <x:f>E27-G27</x:f>
        <x:v>59.5</x:v>
      </x:c>
      <x:c r="I27" s="29" t="n">
        <x:v>0</x:v>
      </x:c>
      <x:c r="J27" s="28" t="n">
        <x:f>H27+I27</x:f>
        <x:v>59.5</x:v>
      </x:c>
      <x:c r="K27" s="26" t="str">
        <x:v>Projection-only v1.0</x:v>
      </x:c>
      <x:c r="L27" s="26" t="n">
        <x:f>RANK.EQ(J27,$J$5:$J$619,0)</x:f>
        <x:v>47</x:v>
      </x:c>
      <x:c r="M27" s="26" t="str">
        <x:f>IF(I27=0,"PROJECTION ONLY","EDITORIAL ADJUSTMENT")</x:f>
        <x:v>PROJECTION ONLY</x:v>
      </x:c>
    </x:row>
    <x:row r="28">
      <x:c r="A28" s="26" t="str">
        <x:v>RB</x:v>
      </x:c>
      <x:c r="B28" s="26" t="n">
        <x:v>24</x:v>
      </x:c>
      <x:c r="C28" s="26" t="str">
        <x:v>Jaylen Warren</x:v>
      </x:c>
      <x:c r="D28" s="26" t="str">
        <x:v>PIT</x:v>
      </x:c>
      <x:c r="E28" s="28" t="n">
        <x:v>171.5</x:v>
      </x:c>
      <x:c r="F28" s="28" t="str">
        <x:v>RB|24</x:v>
      </x:c>
      <x:c r="G28" s="28" t="n">
        <x:f>XLOOKUP(A28,'Assumptions'!$A$12:$A$15,'Assumptions'!$C$12:$C$15)</x:f>
        <x:v>124.5</x:v>
      </x:c>
      <x:c r="H28" s="28" t="n">
        <x:f>E28-G28</x:f>
        <x:v>47</x:v>
      </x:c>
      <x:c r="I28" s="29" t="n">
        <x:v>0</x:v>
      </x:c>
      <x:c r="J28" s="28" t="n">
        <x:f>H28+I28</x:f>
        <x:v>47</x:v>
      </x:c>
      <x:c r="K28" s="26" t="str">
        <x:v>Projection-only v1.0</x:v>
      </x:c>
      <x:c r="L28" s="26" t="n">
        <x:f>RANK.EQ(J28,$J$5:$J$619,0)</x:f>
        <x:v>59</x:v>
      </x:c>
      <x:c r="M28" s="26" t="str">
        <x:f>IF(I28=0,"PROJECTION ONLY","EDITORIAL ADJUSTMENT")</x:f>
        <x:v>PROJECTION ONLY</x:v>
      </x:c>
    </x:row>
    <x:row r="29">
      <x:c r="A29" s="26" t="str">
        <x:v>RB</x:v>
      </x:c>
      <x:c r="B29" s="26" t="n">
        <x:v>25</x:v>
      </x:c>
      <x:c r="C29" s="26" t="str">
        <x:v>Bhayshul Tuten</x:v>
      </x:c>
      <x:c r="D29" s="26" t="str">
        <x:v>JAX</x:v>
      </x:c>
      <x:c r="E29" s="28" t="n">
        <x:v>172.2</x:v>
      </x:c>
      <x:c r="F29" s="28" t="str">
        <x:v>RB|25</x:v>
      </x:c>
      <x:c r="G29" s="28" t="n">
        <x:f>XLOOKUP(A29,'Assumptions'!$A$12:$A$15,'Assumptions'!$C$12:$C$15)</x:f>
        <x:v>124.5</x:v>
      </x:c>
      <x:c r="H29" s="28" t="n">
        <x:f>E29-G29</x:f>
        <x:v>47.69999999999999</x:v>
      </x:c>
      <x:c r="I29" s="29" t="n">
        <x:v>0</x:v>
      </x:c>
      <x:c r="J29" s="28" t="n">
        <x:f>H29+I29</x:f>
        <x:v>47.69999999999999</x:v>
      </x:c>
      <x:c r="K29" s="26" t="str">
        <x:v>Projection-only v1.0</x:v>
      </x:c>
      <x:c r="L29" s="26" t="n">
        <x:f>RANK.EQ(J29,$J$5:$J$619,0)</x:f>
        <x:v>57</x:v>
      </x:c>
      <x:c r="M29" s="26" t="str">
        <x:f>IF(I29=0,"PROJECTION ONLY","EDITORIAL ADJUSTMENT")</x:f>
        <x:v>PROJECTION ONLY</x:v>
      </x:c>
    </x:row>
    <x:row r="30">
      <x:c r="A30" s="26" t="str">
        <x:v>RB</x:v>
      </x:c>
      <x:c r="B30" s="26" t="n">
        <x:v>26</x:v>
      </x:c>
      <x:c r="C30" s="26" t="str">
        <x:v>Cam Skattebo</x:v>
      </x:c>
      <x:c r="D30" s="26" t="str">
        <x:v>NYG</x:v>
      </x:c>
      <x:c r="E30" s="28" t="n">
        <x:v>166.2</x:v>
      </x:c>
      <x:c r="F30" s="28" t="str">
        <x:v>RB|26</x:v>
      </x:c>
      <x:c r="G30" s="28" t="n">
        <x:f>XLOOKUP(A30,'Assumptions'!$A$12:$A$15,'Assumptions'!$C$12:$C$15)</x:f>
        <x:v>124.5</x:v>
      </x:c>
      <x:c r="H30" s="28" t="n">
        <x:f>E30-G30</x:f>
        <x:v>41.69999999999999</x:v>
      </x:c>
      <x:c r="I30" s="29" t="n">
        <x:v>0</x:v>
      </x:c>
      <x:c r="J30" s="28" t="n">
        <x:f>H30+I30</x:f>
        <x:v>41.69999999999999</x:v>
      </x:c>
      <x:c r="K30" s="26" t="str">
        <x:v>Projection-only v1.0</x:v>
      </x:c>
      <x:c r="L30" s="26" t="n">
        <x:f>RANK.EQ(J30,$J$5:$J$619,0)</x:f>
        <x:v>62</x:v>
      </x:c>
      <x:c r="M30" s="26" t="str">
        <x:f>IF(I30=0,"PROJECTION ONLY","EDITORIAL ADJUSTMENT")</x:f>
        <x:v>PROJECTION ONLY</x:v>
      </x:c>
    </x:row>
    <x:row r="31">
      <x:c r="A31" s="26" t="str">
        <x:v>RB</x:v>
      </x:c>
      <x:c r="B31" s="26" t="n">
        <x:v>27</x:v>
      </x:c>
      <x:c r="C31" s="26" t="str">
        <x:v>Jadarian Price</x:v>
      </x:c>
      <x:c r="D31" s="26" t="str">
        <x:v>SEA</x:v>
      </x:c>
      <x:c r="E31" s="28" t="n">
        <x:v>158.3</x:v>
      </x:c>
      <x:c r="F31" s="28" t="str">
        <x:v>RB|27</x:v>
      </x:c>
      <x:c r="G31" s="28" t="n">
        <x:f>XLOOKUP(A31,'Assumptions'!$A$12:$A$15,'Assumptions'!$C$12:$C$15)</x:f>
        <x:v>124.5</x:v>
      </x:c>
      <x:c r="H31" s="28" t="n">
        <x:f>E31-G31</x:f>
        <x:v>33.80000000000001</x:v>
      </x:c>
      <x:c r="I31" s="29" t="n">
        <x:v>0</x:v>
      </x:c>
      <x:c r="J31" s="28" t="n">
        <x:f>H31+I31</x:f>
        <x:v>33.80000000000001</x:v>
      </x:c>
      <x:c r="K31" s="26" t="str">
        <x:v>Projection-only v1.0</x:v>
      </x:c>
      <x:c r="L31" s="26" t="n">
        <x:f>RANK.EQ(J31,$J$5:$J$619,0)</x:f>
        <x:v>66</x:v>
      </x:c>
      <x:c r="M31" s="26" t="str">
        <x:f>IF(I31=0,"PROJECTION ONLY","EDITORIAL ADJUSTMENT")</x:f>
        <x:v>PROJECTION ONLY</x:v>
      </x:c>
    </x:row>
    <x:row r="32">
      <x:c r="A32" s="26" t="str">
        <x:v>RB</x:v>
      </x:c>
      <x:c r="B32" s="26" t="n">
        <x:v>28</x:v>
      </x:c>
      <x:c r="C32" s="26" t="str">
        <x:v>Jacory Croskey-Merritt</x:v>
      </x:c>
      <x:c r="D32" s="26" t="str">
        <x:v>WAS</x:v>
      </x:c>
      <x:c r="E32" s="28" t="n">
        <x:v>154.4</x:v>
      </x:c>
      <x:c r="F32" s="28" t="str">
        <x:v>RB|28</x:v>
      </x:c>
      <x:c r="G32" s="28" t="n">
        <x:f>XLOOKUP(A32,'Assumptions'!$A$12:$A$15,'Assumptions'!$C$12:$C$15)</x:f>
        <x:v>124.5</x:v>
      </x:c>
      <x:c r="H32" s="28" t="n">
        <x:f>E32-G32</x:f>
        <x:v>29.900000000000006</x:v>
      </x:c>
      <x:c r="I32" s="29" t="n">
        <x:v>0</x:v>
      </x:c>
      <x:c r="J32" s="28" t="n">
        <x:f>H32+I32</x:f>
        <x:v>29.900000000000006</x:v>
      </x:c>
      <x:c r="K32" s="26" t="str">
        <x:v>Projection-only v1.0</x:v>
      </x:c>
      <x:c r="L32" s="26" t="n">
        <x:f>RANK.EQ(J32,$J$5:$J$619,0)</x:f>
        <x:v>69</x:v>
      </x:c>
      <x:c r="M32" s="26" t="str">
        <x:f>IF(I32=0,"PROJECTION ONLY","EDITORIAL ADJUSTMENT")</x:f>
        <x:v>PROJECTION ONLY</x:v>
      </x:c>
    </x:row>
    <x:row r="33">
      <x:c r="A33" s="26" t="str">
        <x:v>RB</x:v>
      </x:c>
      <x:c r="B33" s="26" t="n">
        <x:v>29</x:v>
      </x:c>
      <x:c r="C33" s="26" t="str">
        <x:v>Jordan Mason</x:v>
      </x:c>
      <x:c r="D33" s="26" t="str">
        <x:v>MIN</x:v>
      </x:c>
      <x:c r="E33" s="28" t="n">
        <x:v>156.7</x:v>
      </x:c>
      <x:c r="F33" s="28" t="str">
        <x:v>RB|29</x:v>
      </x:c>
      <x:c r="G33" s="28" t="n">
        <x:f>XLOOKUP(A33,'Assumptions'!$A$12:$A$15,'Assumptions'!$C$12:$C$15)</x:f>
        <x:v>124.5</x:v>
      </x:c>
      <x:c r="H33" s="28" t="n">
        <x:f>E33-G33</x:f>
        <x:v>32.19999999999999</x:v>
      </x:c>
      <x:c r="I33" s="29" t="n">
        <x:v>0</x:v>
      </x:c>
      <x:c r="J33" s="28" t="n">
        <x:f>H33+I33</x:f>
        <x:v>32.19999999999999</x:v>
      </x:c>
      <x:c r="K33" s="26" t="str">
        <x:v>Projection-only v1.0</x:v>
      </x:c>
      <x:c r="L33" s="26" t="n">
        <x:f>RANK.EQ(J33,$J$5:$J$619,0)</x:f>
        <x:v>67</x:v>
      </x:c>
      <x:c r="M33" s="26" t="str">
        <x:f>IF(I33=0,"PROJECTION ONLY","EDITORIAL ADJUSTMENT")</x:f>
        <x:v>PROJECTION ONLY</x:v>
      </x:c>
    </x:row>
    <x:row r="34">
      <x:c r="A34" s="26" t="str">
        <x:v>RB</x:v>
      </x:c>
      <x:c r="B34" s="26" t="n">
        <x:v>30</x:v>
      </x:c>
      <x:c r="C34" s="26" t="str">
        <x:v>Tony Pollard</x:v>
      </x:c>
      <x:c r="D34" s="26" t="str">
        <x:v>TEN</x:v>
      </x:c>
      <x:c r="E34" s="28" t="n">
        <x:v>146.9</x:v>
      </x:c>
      <x:c r="F34" s="28" t="str">
        <x:v>RB|30</x:v>
      </x:c>
      <x:c r="G34" s="28" t="n">
        <x:f>XLOOKUP(A34,'Assumptions'!$A$12:$A$15,'Assumptions'!$C$12:$C$15)</x:f>
        <x:v>124.5</x:v>
      </x:c>
      <x:c r="H34" s="28" t="n">
        <x:f>E34-G34</x:f>
        <x:v>22.400000000000006</x:v>
      </x:c>
      <x:c r="I34" s="29" t="n">
        <x:v>0</x:v>
      </x:c>
      <x:c r="J34" s="28" t="n">
        <x:f>H34+I34</x:f>
        <x:v>22.400000000000006</x:v>
      </x:c>
      <x:c r="K34" s="26" t="str">
        <x:v>Projection-only v1.0</x:v>
      </x:c>
      <x:c r="L34" s="26" t="n">
        <x:f>RANK.EQ(J34,$J$5:$J$619,0)</x:f>
        <x:v>80</x:v>
      </x:c>
      <x:c r="M34" s="26" t="str">
        <x:f>IF(I34=0,"PROJECTION ONLY","EDITORIAL ADJUSTMENT")</x:f>
        <x:v>PROJECTION ONLY</x:v>
      </x:c>
    </x:row>
    <x:row r="35">
      <x:c r="A35" s="26" t="str">
        <x:v>RB</x:v>
      </x:c>
      <x:c r="B35" s="26" t="n">
        <x:v>31</x:v>
      </x:c>
      <x:c r="C35" s="26" t="str">
        <x:v>Rico Dowdle</x:v>
      </x:c>
      <x:c r="D35" s="26" t="str">
        <x:v>PIT</x:v>
      </x:c>
      <x:c r="E35" s="28" t="n">
        <x:v>142</x:v>
      </x:c>
      <x:c r="F35" s="28" t="str">
        <x:v>RB|31</x:v>
      </x:c>
      <x:c r="G35" s="28" t="n">
        <x:f>XLOOKUP(A35,'Assumptions'!$A$12:$A$15,'Assumptions'!$C$12:$C$15)</x:f>
        <x:v>124.5</x:v>
      </x:c>
      <x:c r="H35" s="28" t="n">
        <x:f>E35-G35</x:f>
        <x:v>17.5</x:v>
      </x:c>
      <x:c r="I35" s="29" t="n">
        <x:v>0</x:v>
      </x:c>
      <x:c r="J35" s="28" t="n">
        <x:f>H35+I35</x:f>
        <x:v>17.5</x:v>
      </x:c>
      <x:c r="K35" s="26" t="str">
        <x:v>Projection-only v1.0</x:v>
      </x:c>
      <x:c r="L35" s="26" t="n">
        <x:f>RANK.EQ(J35,$J$5:$J$619,0)</x:f>
        <x:v>82</x:v>
      </x:c>
      <x:c r="M35" s="26" t="str">
        <x:f>IF(I35=0,"PROJECTION ONLY","EDITORIAL ADJUSTMENT")</x:f>
        <x:v>PROJECTION ONLY</x:v>
      </x:c>
    </x:row>
    <x:row r="36">
      <x:c r="A36" s="26" t="str">
        <x:v>RB</x:v>
      </x:c>
      <x:c r="B36" s="26" t="n">
        <x:v>32</x:v>
      </x:c>
      <x:c r="C36" s="26" t="str">
        <x:v>Rhamondre Stevenson</x:v>
      </x:c>
      <x:c r="D36" s="26" t="str">
        <x:v>NE</x:v>
      </x:c>
      <x:c r="E36" s="28" t="n">
        <x:v>137.3</x:v>
      </x:c>
      <x:c r="F36" s="28" t="str">
        <x:v>RB|32</x:v>
      </x:c>
      <x:c r="G36" s="28" t="n">
        <x:f>XLOOKUP(A36,'Assumptions'!$A$12:$A$15,'Assumptions'!$C$12:$C$15)</x:f>
        <x:v>124.5</x:v>
      </x:c>
      <x:c r="H36" s="28" t="n">
        <x:f>E36-G36</x:f>
        <x:v>12.800000000000011</x:v>
      </x:c>
      <x:c r="I36" s="29" t="n">
        <x:v>0</x:v>
      </x:c>
      <x:c r="J36" s="28" t="n">
        <x:f>H36+I36</x:f>
        <x:v>12.800000000000011</x:v>
      </x:c>
      <x:c r="K36" s="26" t="str">
        <x:v>Projection-only v1.0</x:v>
      </x:c>
      <x:c r="L36" s="26" t="n">
        <x:f>RANK.EQ(J36,$J$5:$J$619,0)</x:f>
        <x:v>88</x:v>
      </x:c>
      <x:c r="M36" s="26" t="str">
        <x:f>IF(I36=0,"PROJECTION ONLY","EDITORIAL ADJUSTMENT")</x:f>
        <x:v>PROJECTION ONLY</x:v>
      </x:c>
    </x:row>
    <x:row r="37">
      <x:c r="A37" s="26" t="str">
        <x:v>RB</x:v>
      </x:c>
      <x:c r="B37" s="26" t="n">
        <x:v>33</x:v>
      </x:c>
      <x:c r="C37" s="26" t="str">
        <x:v>Kenny Gainwell</x:v>
      </x:c>
      <x:c r="D37" s="26" t="str">
        <x:v>TB</x:v>
      </x:c>
      <x:c r="E37" s="28" t="n">
        <x:v>130.4</x:v>
      </x:c>
      <x:c r="F37" s="28" t="str">
        <x:v>RB|33</x:v>
      </x:c>
      <x:c r="G37" s="28" t="n">
        <x:f>XLOOKUP(A37,'Assumptions'!$A$12:$A$15,'Assumptions'!$C$12:$C$15)</x:f>
        <x:v>124.5</x:v>
      </x:c>
      <x:c r="H37" s="28" t="n">
        <x:f>E37-G37</x:f>
        <x:v>5.900000000000006</x:v>
      </x:c>
      <x:c r="I37" s="29" t="n">
        <x:v>0</x:v>
      </x:c>
      <x:c r="J37" s="28" t="n">
        <x:f>H37+I37</x:f>
        <x:v>5.900000000000006</x:v>
      </x:c>
      <x:c r="K37" s="26" t="str">
        <x:v>Projection-only v1.0</x:v>
      </x:c>
      <x:c r="L37" s="26" t="n">
        <x:f>RANK.EQ(J37,$J$5:$J$619,0)</x:f>
        <x:v>99</x:v>
      </x:c>
      <x:c r="M37" s="26" t="str">
        <x:f>IF(I37=0,"PROJECTION ONLY","EDITORIAL ADJUSTMENT")</x:f>
        <x:v>PROJECTION ONLY</x:v>
      </x:c>
    </x:row>
    <x:row r="38">
      <x:c r="A38" s="26" t="str">
        <x:v>RB</x:v>
      </x:c>
      <x:c r="B38" s="26" t="n">
        <x:v>34</x:v>
      </x:c>
      <x:c r="C38" s="26" t="str">
        <x:v>Kyle Monangai</x:v>
      </x:c>
      <x:c r="D38" s="26" t="str">
        <x:v>CHI</x:v>
      </x:c>
      <x:c r="E38" s="28" t="n">
        <x:v>135.9</x:v>
      </x:c>
      <x:c r="F38" s="28" t="str">
        <x:v>RB|34</x:v>
      </x:c>
      <x:c r="G38" s="28" t="n">
        <x:f>XLOOKUP(A38,'Assumptions'!$A$12:$A$15,'Assumptions'!$C$12:$C$15)</x:f>
        <x:v>124.5</x:v>
      </x:c>
      <x:c r="H38" s="28" t="n">
        <x:f>E38-G38</x:f>
        <x:v>11.400000000000006</x:v>
      </x:c>
      <x:c r="I38" s="29" t="n">
        <x:v>0</x:v>
      </x:c>
      <x:c r="J38" s="28" t="n">
        <x:f>H38+I38</x:f>
        <x:v>11.400000000000006</x:v>
      </x:c>
      <x:c r="K38" s="26" t="str">
        <x:v>Projection-only v1.0</x:v>
      </x:c>
      <x:c r="L38" s="26" t="n">
        <x:f>RANK.EQ(J38,$J$5:$J$619,0)</x:f>
        <x:v>90</x:v>
      </x:c>
      <x:c r="M38" s="26" t="str">
        <x:f>IF(I38=0,"PROJECTION ONLY","EDITORIAL ADJUSTMENT")</x:f>
        <x:v>PROJECTION ONLY</x:v>
      </x:c>
    </x:row>
    <x:row r="39">
      <x:c r="A39" s="26" t="str">
        <x:v>RB</x:v>
      </x:c>
      <x:c r="B39" s="26" t="n">
        <x:v>35</x:v>
      </x:c>
      <x:c r="C39" s="26" t="str">
        <x:v>Chuba Hubbard</x:v>
      </x:c>
      <x:c r="D39" s="26" t="str">
        <x:v>CAR</x:v>
      </x:c>
      <x:c r="E39" s="28" t="n">
        <x:v>131.4</x:v>
      </x:c>
      <x:c r="F39" s="28" t="str">
        <x:v>RB|35</x:v>
      </x:c>
      <x:c r="G39" s="28" t="n">
        <x:f>XLOOKUP(A39,'Assumptions'!$A$12:$A$15,'Assumptions'!$C$12:$C$15)</x:f>
        <x:v>124.5</x:v>
      </x:c>
      <x:c r="H39" s="28" t="n">
        <x:f>E39-G39</x:f>
        <x:v>6.900000000000006</x:v>
      </x:c>
      <x:c r="I39" s="29" t="n">
        <x:v>0</x:v>
      </x:c>
      <x:c r="J39" s="28" t="n">
        <x:f>H39+I39</x:f>
        <x:v>6.900000000000006</x:v>
      </x:c>
      <x:c r="K39" s="26" t="str">
        <x:v>Projection-only v1.0</x:v>
      </x:c>
      <x:c r="L39" s="26" t="n">
        <x:f>RANK.EQ(J39,$J$5:$J$619,0)</x:f>
        <x:v>95</x:v>
      </x:c>
      <x:c r="M39" s="26" t="str">
        <x:f>IF(I39=0,"PROJECTION ONLY","EDITORIAL ADJUSTMENT")</x:f>
        <x:v>PROJECTION ONLY</x:v>
      </x:c>
    </x:row>
    <x:row r="40">
      <x:c r="A40" s="26" t="str">
        <x:v>RB</x:v>
      </x:c>
      <x:c r="B40" s="26" t="n">
        <x:v>36</x:v>
      </x:c>
      <x:c r="C40" s="26" t="str">
        <x:v>Jonathon Brooks</x:v>
      </x:c>
      <x:c r="D40" s="26" t="str">
        <x:v>CAR</x:v>
      </x:c>
      <x:c r="E40" s="28" t="n">
        <x:v>129.2</x:v>
      </x:c>
      <x:c r="F40" s="28" t="str">
        <x:v>RB|36</x:v>
      </x:c>
      <x:c r="G40" s="28" t="n">
        <x:f>XLOOKUP(A40,'Assumptions'!$A$12:$A$15,'Assumptions'!$C$12:$C$15)</x:f>
        <x:v>124.5</x:v>
      </x:c>
      <x:c r="H40" s="28" t="n">
        <x:f>E40-G40</x:f>
        <x:v>4.699999999999989</x:v>
      </x:c>
      <x:c r="I40" s="29" t="n">
        <x:v>0</x:v>
      </x:c>
      <x:c r="J40" s="28" t="n">
        <x:f>H40+I40</x:f>
        <x:v>4.699999999999989</x:v>
      </x:c>
      <x:c r="K40" s="26" t="str">
        <x:v>Projection-only v1.0</x:v>
      </x:c>
      <x:c r="L40" s="26" t="n">
        <x:f>RANK.EQ(J40,$J$5:$J$619,0)</x:f>
        <x:v>101</x:v>
      </x:c>
      <x:c r="M40" s="26" t="str">
        <x:f>IF(I40=0,"PROJECTION ONLY","EDITORIAL ADJUSTMENT")</x:f>
        <x:v>PROJECTION ONLY</x:v>
      </x:c>
    </x:row>
    <x:row r="41">
      <x:c r="A41" s="26" t="str">
        <x:v>RB</x:v>
      </x:c>
      <x:c r="B41" s="26" t="n">
        <x:v>37</x:v>
      </x:c>
      <x:c r="C41" s="26" t="str">
        <x:v>Aaron Jones Sr.</x:v>
      </x:c>
      <x:c r="D41" s="26" t="str">
        <x:v>MIN</x:v>
      </x:c>
      <x:c r="E41" s="28" t="n">
        <x:v>124.5</x:v>
      </x:c>
      <x:c r="F41" s="28" t="str">
        <x:v>RB|37</x:v>
      </x:c>
      <x:c r="G41" s="28" t="n">
        <x:f>XLOOKUP(A41,'Assumptions'!$A$12:$A$15,'Assumptions'!$C$12:$C$15)</x:f>
        <x:v>124.5</x:v>
      </x:c>
      <x:c r="H41" s="28" t="n">
        <x:f>E41-G41</x:f>
        <x:v>0</x:v>
      </x:c>
      <x:c r="I41" s="29" t="n">
        <x:v>0</x:v>
      </x:c>
      <x:c r="J41" s="28" t="n">
        <x:f>H41+I41</x:f>
        <x:v>0</x:v>
      </x:c>
      <x:c r="K41" s="26" t="str">
        <x:v>Projection-only v1.0</x:v>
      </x:c>
      <x:c r="L41" s="26" t="n">
        <x:f>RANK.EQ(J41,$J$5:$J$619,0)</x:f>
        <x:v>109</x:v>
      </x:c>
      <x:c r="M41" s="26" t="str">
        <x:f>IF(I41=0,"PROJECTION ONLY","EDITORIAL ADJUSTMENT")</x:f>
        <x:v>PROJECTION ONLY</x:v>
      </x:c>
    </x:row>
    <x:row r="42">
      <x:c r="A42" s="26" t="str">
        <x:v>RB</x:v>
      </x:c>
      <x:c r="B42" s="26" t="n">
        <x:v>38</x:v>
      </x:c>
      <x:c r="C42" s="26" t="str">
        <x:v>RJ Harvey</x:v>
      </x:c>
      <x:c r="D42" s="26" t="str">
        <x:v>DEN</x:v>
      </x:c>
      <x:c r="E42" s="28" t="n">
        <x:v>118.7</x:v>
      </x:c>
      <x:c r="F42" s="28" t="str">
        <x:v>RB|38</x:v>
      </x:c>
      <x:c r="G42" s="28" t="n">
        <x:f>XLOOKUP(A42,'Assumptions'!$A$12:$A$15,'Assumptions'!$C$12:$C$15)</x:f>
        <x:v>124.5</x:v>
      </x:c>
      <x:c r="H42" s="28" t="n">
        <x:f>E42-G42</x:f>
        <x:v>-5.799999999999997</x:v>
      </x:c>
      <x:c r="I42" s="29" t="n">
        <x:v>0</x:v>
      </x:c>
      <x:c r="J42" s="28" t="n">
        <x:f>H42+I42</x:f>
        <x:v>-5.799999999999997</x:v>
      </x:c>
      <x:c r="K42" s="26" t="str">
        <x:v>Projection-only v1.0</x:v>
      </x:c>
      <x:c r="L42" s="26" t="n">
        <x:f>RANK.EQ(J42,$J$5:$J$619,0)</x:f>
        <x:v>122</x:v>
      </x:c>
      <x:c r="M42" s="26" t="str">
        <x:f>IF(I42=0,"PROJECTION ONLY","EDITORIAL ADJUSTMENT")</x:f>
        <x:v>PROJECTION ONLY</x:v>
      </x:c>
    </x:row>
    <x:row r="43">
      <x:c r="A43" s="26" t="str">
        <x:v>RB</x:v>
      </x:c>
      <x:c r="B43" s="26" t="n">
        <x:v>39</x:v>
      </x:c>
      <x:c r="C43" s="26" t="str">
        <x:v>J.K. Dobbins</x:v>
      </x:c>
      <x:c r="D43" s="26" t="str">
        <x:v>DEN</x:v>
      </x:c>
      <x:c r="E43" s="28" t="n">
        <x:v>127.7</x:v>
      </x:c>
      <x:c r="F43" s="28" t="str">
        <x:v>RB|39</x:v>
      </x:c>
      <x:c r="G43" s="28" t="n">
        <x:f>XLOOKUP(A43,'Assumptions'!$A$12:$A$15,'Assumptions'!$C$12:$C$15)</x:f>
        <x:v>124.5</x:v>
      </x:c>
      <x:c r="H43" s="28" t="n">
        <x:f>E43-G43</x:f>
        <x:v>3.200000000000003</x:v>
      </x:c>
      <x:c r="I43" s="29" t="n">
        <x:v>0</x:v>
      </x:c>
      <x:c r="J43" s="28" t="n">
        <x:f>H43+I43</x:f>
        <x:v>3.200000000000003</x:v>
      </x:c>
      <x:c r="K43" s="26" t="str">
        <x:v>Projection-only v1.0</x:v>
      </x:c>
      <x:c r="L43" s="26" t="n">
        <x:f>RANK.EQ(J43,$J$5:$J$619,0)</x:f>
        <x:v>104</x:v>
      </x:c>
      <x:c r="M43" s="26" t="str">
        <x:f>IF(I43=0,"PROJECTION ONLY","EDITORIAL ADJUSTMENT")</x:f>
        <x:v>PROJECTION ONLY</x:v>
      </x:c>
    </x:row>
    <x:row r="44">
      <x:c r="A44" s="26" t="str">
        <x:v>RB</x:v>
      </x:c>
      <x:c r="B44" s="26" t="n">
        <x:v>40</x:v>
      </x:c>
      <x:c r="C44" s="26" t="str">
        <x:v>Blake Corum</x:v>
      </x:c>
      <x:c r="D44" s="26" t="str">
        <x:v>LAR</x:v>
      </x:c>
      <x:c r="E44" s="28" t="n">
        <x:v>128.1</x:v>
      </x:c>
      <x:c r="F44" s="28" t="str">
        <x:v>RB|40</x:v>
      </x:c>
      <x:c r="G44" s="28" t="n">
        <x:f>XLOOKUP(A44,'Assumptions'!$A$12:$A$15,'Assumptions'!$C$12:$C$15)</x:f>
        <x:v>124.5</x:v>
      </x:c>
      <x:c r="H44" s="28" t="n">
        <x:f>E44-G44</x:f>
        <x:v>3.5999999999999943</x:v>
      </x:c>
      <x:c r="I44" s="29" t="n">
        <x:v>0</x:v>
      </x:c>
      <x:c r="J44" s="28" t="n">
        <x:f>H44+I44</x:f>
        <x:v>3.5999999999999943</x:v>
      </x:c>
      <x:c r="K44" s="26" t="str">
        <x:v>Projection-only v1.0</x:v>
      </x:c>
      <x:c r="L44" s="26" t="n">
        <x:f>RANK.EQ(J44,$J$5:$J$619,0)</x:f>
        <x:v>102</x:v>
      </x:c>
      <x:c r="M44" s="26" t="str">
        <x:f>IF(I44=0,"PROJECTION ONLY","EDITORIAL ADJUSTMENT")</x:f>
        <x:v>PROJECTION ONLY</x:v>
      </x:c>
    </x:row>
    <x:row r="45">
      <x:c r="A45" s="26" t="str">
        <x:v>RB</x:v>
      </x:c>
      <x:c r="B45" s="26" t="n">
        <x:v>41</x:v>
      </x:c>
      <x:c r="C45" s="26" t="str">
        <x:v>Tyjae Spears</x:v>
      </x:c>
      <x:c r="D45" s="26" t="str">
        <x:v>TEN</x:v>
      </x:c>
      <x:c r="E45" s="28" t="n">
        <x:v>105.4</x:v>
      </x:c>
      <x:c r="F45" s="28" t="str">
        <x:v>RB|41</x:v>
      </x:c>
      <x:c r="G45" s="28" t="n">
        <x:f>XLOOKUP(A45,'Assumptions'!$A$12:$A$15,'Assumptions'!$C$12:$C$15)</x:f>
        <x:v>124.5</x:v>
      </x:c>
      <x:c r="H45" s="28" t="n">
        <x:f>E45-G45</x:f>
        <x:v>-19.099999999999994</x:v>
      </x:c>
      <x:c r="I45" s="29" t="n">
        <x:v>0</x:v>
      </x:c>
      <x:c r="J45" s="28" t="n">
        <x:f>H45+I45</x:f>
        <x:v>-19.099999999999994</x:v>
      </x:c>
      <x:c r="K45" s="26" t="str">
        <x:v>Projection-only v1.0</x:v>
      </x:c>
      <x:c r="L45" s="26" t="n">
        <x:f>RANK.EQ(J45,$J$5:$J$619,0)</x:f>
        <x:v>136</x:v>
      </x:c>
      <x:c r="M45" s="26" t="str">
        <x:f>IF(I45=0,"PROJECTION ONLY","EDITORIAL ADJUSTMENT")</x:f>
        <x:v>PROJECTION ONLY</x:v>
      </x:c>
    </x:row>
    <x:row r="46">
      <x:c r="A46" s="26" t="str">
        <x:v>RB</x:v>
      </x:c>
      <x:c r="B46" s="26" t="n">
        <x:v>42</x:v>
      </x:c>
      <x:c r="C46" s="26" t="str">
        <x:v>Tyrone Tracy Jr.</x:v>
      </x:c>
      <x:c r="D46" s="26" t="str">
        <x:v>NYG</x:v>
      </x:c>
      <x:c r="E46" s="28" t="n">
        <x:v>110.2</x:v>
      </x:c>
      <x:c r="F46" s="28" t="str">
        <x:v>RB|42</x:v>
      </x:c>
      <x:c r="G46" s="28" t="n">
        <x:f>XLOOKUP(A46,'Assumptions'!$A$12:$A$15,'Assumptions'!$C$12:$C$15)</x:f>
        <x:v>124.5</x:v>
      </x:c>
      <x:c r="H46" s="28" t="n">
        <x:f>E46-G46</x:f>
        <x:v>-14.299999999999997</x:v>
      </x:c>
      <x:c r="I46" s="29" t="n">
        <x:v>0</x:v>
      </x:c>
      <x:c r="J46" s="28" t="n">
        <x:f>H46+I46</x:f>
        <x:v>-14.299999999999997</x:v>
      </x:c>
      <x:c r="K46" s="26" t="str">
        <x:v>Projection-only v1.0</x:v>
      </x:c>
      <x:c r="L46" s="26" t="n">
        <x:f>RANK.EQ(J46,$J$5:$J$619,0)</x:f>
        <x:v>129</x:v>
      </x:c>
      <x:c r="M46" s="26" t="str">
        <x:f>IF(I46=0,"PROJECTION ONLY","EDITORIAL ADJUSTMENT")</x:f>
        <x:v>PROJECTION ONLY</x:v>
      </x:c>
    </x:row>
    <x:row r="47">
      <x:c r="A47" s="26" t="str">
        <x:v>RB</x:v>
      </x:c>
      <x:c r="B47" s="26" t="n">
        <x:v>43</x:v>
      </x:c>
      <x:c r="C47" s="26" t="str">
        <x:v>Rachaad White</x:v>
      </x:c>
      <x:c r="D47" s="26" t="str">
        <x:v>WAS</x:v>
      </x:c>
      <x:c r="E47" s="28" t="n">
        <x:v>104.6</x:v>
      </x:c>
      <x:c r="F47" s="28" t="str">
        <x:v>RB|43</x:v>
      </x:c>
      <x:c r="G47" s="28" t="n">
        <x:f>XLOOKUP(A47,'Assumptions'!$A$12:$A$15,'Assumptions'!$C$12:$C$15)</x:f>
        <x:v>124.5</x:v>
      </x:c>
      <x:c r="H47" s="28" t="n">
        <x:f>E47-G47</x:f>
        <x:v>-19.900000000000006</x:v>
      </x:c>
      <x:c r="I47" s="29" t="n">
        <x:v>0</x:v>
      </x:c>
      <x:c r="J47" s="28" t="n">
        <x:f>H47+I47</x:f>
        <x:v>-19.900000000000006</x:v>
      </x:c>
      <x:c r="K47" s="26" t="str">
        <x:v>Projection-only v1.0</x:v>
      </x:c>
      <x:c r="L47" s="26" t="n">
        <x:f>RANK.EQ(J47,$J$5:$J$619,0)</x:f>
        <x:v>137</x:v>
      </x:c>
      <x:c r="M47" s="26" t="str">
        <x:f>IF(I47=0,"PROJECTION ONLY","EDITORIAL ADJUSTMENT")</x:f>
        <x:v>PROJECTION ONLY</x:v>
      </x:c>
    </x:row>
    <x:row r="48">
      <x:c r="A48" s="26" t="str">
        <x:v>RB</x:v>
      </x:c>
      <x:c r="B48" s="26" t="n">
        <x:v>44</x:v>
      </x:c>
      <x:c r="C48" s="26" t="str">
        <x:v>Chris Rodriguez Jr.</x:v>
      </x:c>
      <x:c r="D48" s="26" t="str">
        <x:v>JAX</x:v>
      </x:c>
      <x:c r="E48" s="28" t="n">
        <x:v>109.6</x:v>
      </x:c>
      <x:c r="F48" s="28" t="str">
        <x:v>RB|44</x:v>
      </x:c>
      <x:c r="G48" s="28" t="n">
        <x:f>XLOOKUP(A48,'Assumptions'!$A$12:$A$15,'Assumptions'!$C$12:$C$15)</x:f>
        <x:v>124.5</x:v>
      </x:c>
      <x:c r="H48" s="28" t="n">
        <x:f>E48-G48</x:f>
        <x:v>-14.900000000000006</x:v>
      </x:c>
      <x:c r="I48" s="29" t="n">
        <x:v>0</x:v>
      </x:c>
      <x:c r="J48" s="28" t="n">
        <x:f>H48+I48</x:f>
        <x:v>-14.900000000000006</x:v>
      </x:c>
      <x:c r="K48" s="26" t="str">
        <x:v>Projection-only v1.0</x:v>
      </x:c>
      <x:c r="L48" s="26" t="n">
        <x:f>RANK.EQ(J48,$J$5:$J$619,0)</x:f>
        <x:v>130</x:v>
      </x:c>
      <x:c r="M48" s="26" t="str">
        <x:f>IF(I48=0,"PROJECTION ONLY","EDITORIAL ADJUSTMENT")</x:f>
        <x:v>PROJECTION ONLY</x:v>
      </x:c>
    </x:row>
    <x:row r="49">
      <x:c r="A49" s="26" t="str">
        <x:v>RB</x:v>
      </x:c>
      <x:c r="B49" s="26" t="n">
        <x:v>45</x:v>
      </x:c>
      <x:c r="C49" s="26" t="str">
        <x:v>Mike Washington Jr.</x:v>
      </x:c>
      <x:c r="D49" s="26" t="str">
        <x:v>LV</x:v>
      </x:c>
      <x:c r="E49" s="28" t="n">
        <x:v>103.6</x:v>
      </x:c>
      <x:c r="F49" s="28" t="str">
        <x:v>RB|45</x:v>
      </x:c>
      <x:c r="G49" s="28" t="n">
        <x:f>XLOOKUP(A49,'Assumptions'!$A$12:$A$15,'Assumptions'!$C$12:$C$15)</x:f>
        <x:v>124.5</x:v>
      </x:c>
      <x:c r="H49" s="28" t="n">
        <x:f>E49-G49</x:f>
        <x:v>-20.900000000000006</x:v>
      </x:c>
      <x:c r="I49" s="29" t="n">
        <x:v>0</x:v>
      </x:c>
      <x:c r="J49" s="28" t="n">
        <x:f>H49+I49</x:f>
        <x:v>-20.900000000000006</x:v>
      </x:c>
      <x:c r="K49" s="26" t="str">
        <x:v>Projection-only v1.0</x:v>
      </x:c>
      <x:c r="L49" s="26" t="n">
        <x:f>RANK.EQ(J49,$J$5:$J$619,0)</x:f>
        <x:v>139</x:v>
      </x:c>
      <x:c r="M49" s="26" t="str">
        <x:f>IF(I49=0,"PROJECTION ONLY","EDITORIAL ADJUSTMENT")</x:f>
        <x:v>PROJECTION ONLY</x:v>
      </x:c>
    </x:row>
    <x:row r="50">
      <x:c r="A50" s="26" t="str">
        <x:v>RB</x:v>
      </x:c>
      <x:c r="B50" s="26" t="n">
        <x:v>46</x:v>
      </x:c>
      <x:c r="C50" s="26" t="str">
        <x:v>Zach Charbonnet</x:v>
      </x:c>
      <x:c r="D50" s="26" t="str">
        <x:v>SEA</x:v>
      </x:c>
      <x:c r="E50" s="28" t="n">
        <x:v>104.3</x:v>
      </x:c>
      <x:c r="F50" s="28" t="str">
        <x:v>RB|46</x:v>
      </x:c>
      <x:c r="G50" s="28" t="n">
        <x:f>XLOOKUP(A50,'Assumptions'!$A$12:$A$15,'Assumptions'!$C$12:$C$15)</x:f>
        <x:v>124.5</x:v>
      </x:c>
      <x:c r="H50" s="28" t="n">
        <x:f>E50-G50</x:f>
        <x:v>-20.200000000000003</x:v>
      </x:c>
      <x:c r="I50" s="29" t="n">
        <x:v>0</x:v>
      </x:c>
      <x:c r="J50" s="28" t="n">
        <x:f>H50+I50</x:f>
        <x:v>-20.200000000000003</x:v>
      </x:c>
      <x:c r="K50" s="26" t="str">
        <x:v>Projection-only v1.0</x:v>
      </x:c>
      <x:c r="L50" s="26" t="n">
        <x:f>RANK.EQ(J50,$J$5:$J$619,0)</x:f>
        <x:v>138</x:v>
      </x:c>
      <x:c r="M50" s="26" t="str">
        <x:f>IF(I50=0,"PROJECTION ONLY","EDITORIAL ADJUSTMENT")</x:f>
        <x:v>PROJECTION ONLY</x:v>
      </x:c>
    </x:row>
    <x:row r="51">
      <x:c r="A51" s="26" t="str">
        <x:v>RB</x:v>
      </x:c>
      <x:c r="B51" s="26" t="n">
        <x:v>47</x:v>
      </x:c>
      <x:c r="C51" s="26" t="str">
        <x:v>Alvin Kamara</x:v>
      </x:c>
      <x:c r="D51" s="26" t="str">
        <x:v>NO</x:v>
      </x:c>
      <x:c r="E51" s="28" t="n">
        <x:v>96.2</x:v>
      </x:c>
      <x:c r="F51" s="28" t="str">
        <x:v>RB|47</x:v>
      </x:c>
      <x:c r="G51" s="28" t="n">
        <x:f>XLOOKUP(A51,'Assumptions'!$A$12:$A$15,'Assumptions'!$C$12:$C$15)</x:f>
        <x:v>124.5</x:v>
      </x:c>
      <x:c r="H51" s="28" t="n">
        <x:f>E51-G51</x:f>
        <x:v>-28.299999999999997</x:v>
      </x:c>
      <x:c r="I51" s="29" t="n">
        <x:v>0</x:v>
      </x:c>
      <x:c r="J51" s="28" t="n">
        <x:f>H51+I51</x:f>
        <x:v>-28.299999999999997</x:v>
      </x:c>
      <x:c r="K51" s="26" t="str">
        <x:v>Projection-only v1.0</x:v>
      </x:c>
      <x:c r="L51" s="26" t="n">
        <x:f>RANK.EQ(J51,$J$5:$J$619,0)</x:f>
        <x:v>149</x:v>
      </x:c>
      <x:c r="M51" s="26" t="str">
        <x:f>IF(I51=0,"PROJECTION ONLY","EDITORIAL ADJUSTMENT")</x:f>
        <x:v>PROJECTION ONLY</x:v>
      </x:c>
    </x:row>
    <x:row r="52">
      <x:c r="A52" s="26" t="str">
        <x:v>RB</x:v>
      </x:c>
      <x:c r="B52" s="26" t="n">
        <x:v>48</x:v>
      </x:c>
      <x:c r="C52" s="26" t="str">
        <x:v>Woody Marks</x:v>
      </x:c>
      <x:c r="D52" s="26" t="str">
        <x:v>HOU</x:v>
      </x:c>
      <x:c r="E52" s="28" t="n">
        <x:v>98.4</x:v>
      </x:c>
      <x:c r="F52" s="28" t="str">
        <x:v>RB|48</x:v>
      </x:c>
      <x:c r="G52" s="28" t="n">
        <x:f>XLOOKUP(A52,'Assumptions'!$A$12:$A$15,'Assumptions'!$C$12:$C$15)</x:f>
        <x:v>124.5</x:v>
      </x:c>
      <x:c r="H52" s="28" t="n">
        <x:f>E52-G52</x:f>
        <x:v>-26.099999999999994</x:v>
      </x:c>
      <x:c r="I52" s="29" t="n">
        <x:v>0</x:v>
      </x:c>
      <x:c r="J52" s="28" t="n">
        <x:f>H52+I52</x:f>
        <x:v>-26.099999999999994</x:v>
      </x:c>
      <x:c r="K52" s="26" t="str">
        <x:v>Projection-only v1.0</x:v>
      </x:c>
      <x:c r="L52" s="26" t="n">
        <x:f>RANK.EQ(J52,$J$5:$J$619,0)</x:f>
        <x:v>146</x:v>
      </x:c>
      <x:c r="M52" s="26" t="str">
        <x:f>IF(I52=0,"PROJECTION ONLY","EDITORIAL ADJUSTMENT")</x:f>
        <x:v>PROJECTION ONLY</x:v>
      </x:c>
    </x:row>
    <x:row r="53">
      <x:c r="A53" s="26" t="str">
        <x:v>RB</x:v>
      </x:c>
      <x:c r="B53" s="26" t="n">
        <x:v>49</x:v>
      </x:c>
      <x:c r="C53" s="26" t="str">
        <x:v>Emmett Johnson</x:v>
      </x:c>
      <x:c r="D53" s="26" t="str">
        <x:v>KC</x:v>
      </x:c>
      <x:c r="E53" s="28" t="n">
        <x:v>103</x:v>
      </x:c>
      <x:c r="F53" s="28" t="str">
        <x:v>RB|49</x:v>
      </x:c>
      <x:c r="G53" s="28" t="n">
        <x:f>XLOOKUP(A53,'Assumptions'!$A$12:$A$15,'Assumptions'!$C$12:$C$15)</x:f>
        <x:v>124.5</x:v>
      </x:c>
      <x:c r="H53" s="28" t="n">
        <x:f>E53-G53</x:f>
        <x:v>-21.5</x:v>
      </x:c>
      <x:c r="I53" s="29" t="n">
        <x:v>0</x:v>
      </x:c>
      <x:c r="J53" s="28" t="n">
        <x:f>H53+I53</x:f>
        <x:v>-21.5</x:v>
      </x:c>
      <x:c r="K53" s="26" t="str">
        <x:v>Projection-only v1.0</x:v>
      </x:c>
      <x:c r="L53" s="26" t="n">
        <x:f>RANK.EQ(J53,$J$5:$J$619,0)</x:f>
        <x:v>141</x:v>
      </x:c>
      <x:c r="M53" s="26" t="str">
        <x:f>IF(I53=0,"PROJECTION ONLY","EDITORIAL ADJUSTMENT")</x:f>
        <x:v>PROJECTION ONLY</x:v>
      </x:c>
    </x:row>
    <x:row r="54">
      <x:c r="A54" s="26" t="str">
        <x:v>RB</x:v>
      </x:c>
      <x:c r="B54" s="26" t="n">
        <x:v>50</x:v>
      </x:c>
      <x:c r="C54" s="26" t="str">
        <x:v>Isiah Pacheco</x:v>
      </x:c>
      <x:c r="D54" s="26" t="str">
        <x:v>DET</x:v>
      </x:c>
      <x:c r="E54" s="28" t="n">
        <x:v>100.5</x:v>
      </x:c>
      <x:c r="F54" s="28" t="str">
        <x:v>RB|50</x:v>
      </x:c>
      <x:c r="G54" s="28" t="n">
        <x:f>XLOOKUP(A54,'Assumptions'!$A$12:$A$15,'Assumptions'!$C$12:$C$15)</x:f>
        <x:v>124.5</x:v>
      </x:c>
      <x:c r="H54" s="28" t="n">
        <x:f>E54-G54</x:f>
        <x:v>-24</x:v>
      </x:c>
      <x:c r="I54" s="29" t="n">
        <x:v>0</x:v>
      </x:c>
      <x:c r="J54" s="28" t="n">
        <x:f>H54+I54</x:f>
        <x:v>-24</x:v>
      </x:c>
      <x:c r="K54" s="26" t="str">
        <x:v>Projection-only v1.0</x:v>
      </x:c>
      <x:c r="L54" s="26" t="n">
        <x:f>RANK.EQ(J54,$J$5:$J$619,0)</x:f>
        <x:v>144</x:v>
      </x:c>
      <x:c r="M54" s="26" t="str">
        <x:f>IF(I54=0,"PROJECTION ONLY","EDITORIAL ADJUSTMENT")</x:f>
        <x:v>PROJECTION ONLY</x:v>
      </x:c>
    </x:row>
    <x:row r="55">
      <x:c r="A55" s="26" t="str">
        <x:v>RB</x:v>
      </x:c>
      <x:c r="B55" s="26" t="n">
        <x:v>51</x:v>
      </x:c>
      <x:c r="C55" s="26" t="str">
        <x:v>Nicholas Singleton</x:v>
      </x:c>
      <x:c r="D55" s="26" t="str">
        <x:v>TEN</x:v>
      </x:c>
      <x:c r="E55" s="28" t="n">
        <x:v>93.7</x:v>
      </x:c>
      <x:c r="F55" s="28" t="str">
        <x:v>RB|51</x:v>
      </x:c>
      <x:c r="G55" s="28" t="n">
        <x:f>XLOOKUP(A55,'Assumptions'!$A$12:$A$15,'Assumptions'!$C$12:$C$15)</x:f>
        <x:v>124.5</x:v>
      </x:c>
      <x:c r="H55" s="28" t="n">
        <x:f>E55-G55</x:f>
        <x:v>-30.799999999999997</x:v>
      </x:c>
      <x:c r="I55" s="29" t="n">
        <x:v>0</x:v>
      </x:c>
      <x:c r="J55" s="28" t="n">
        <x:f>H55+I55</x:f>
        <x:v>-30.799999999999997</x:v>
      </x:c>
      <x:c r="K55" s="26" t="str">
        <x:v>Projection-only v1.0</x:v>
      </x:c>
      <x:c r="L55" s="26" t="n">
        <x:f>RANK.EQ(J55,$J$5:$J$619,0)</x:f>
        <x:v>157</x:v>
      </x:c>
      <x:c r="M55" s="26" t="str">
        <x:f>IF(I55=0,"PROJECTION ONLY","EDITORIAL ADJUSTMENT")</x:f>
        <x:v>PROJECTION ONLY</x:v>
      </x:c>
    </x:row>
    <x:row r="56">
      <x:c r="A56" s="26" t="str">
        <x:v>RB</x:v>
      </x:c>
      <x:c r="B56" s="26" t="n">
        <x:v>52</x:v>
      </x:c>
      <x:c r="C56" s="26" t="str">
        <x:v>Tyler Allgeier</x:v>
      </x:c>
      <x:c r="D56" s="26" t="str">
        <x:v>ARI</x:v>
      </x:c>
      <x:c r="E56" s="28" t="n">
        <x:v>94.5</x:v>
      </x:c>
      <x:c r="F56" s="28" t="str">
        <x:v>RB|52</x:v>
      </x:c>
      <x:c r="G56" s="28" t="n">
        <x:f>XLOOKUP(A56,'Assumptions'!$A$12:$A$15,'Assumptions'!$C$12:$C$15)</x:f>
        <x:v>124.5</x:v>
      </x:c>
      <x:c r="H56" s="28" t="n">
        <x:f>E56-G56</x:f>
        <x:v>-30</x:v>
      </x:c>
      <x:c r="I56" s="29" t="n">
        <x:v>0</x:v>
      </x:c>
      <x:c r="J56" s="28" t="n">
        <x:f>H56+I56</x:f>
        <x:v>-30</x:v>
      </x:c>
      <x:c r="K56" s="26" t="str">
        <x:v>Projection-only v1.0</x:v>
      </x:c>
      <x:c r="L56" s="26" t="n">
        <x:f>RANK.EQ(J56,$J$5:$J$619,0)</x:f>
        <x:v>155</x:v>
      </x:c>
      <x:c r="M56" s="26" t="str">
        <x:f>IF(I56=0,"PROJECTION ONLY","EDITORIAL ADJUSTMENT")</x:f>
        <x:v>PROJECTION ONLY</x:v>
      </x:c>
    </x:row>
    <x:row r="57">
      <x:c r="A57" s="26" t="str">
        <x:v>RB</x:v>
      </x:c>
      <x:c r="B57" s="26" t="n">
        <x:v>53</x:v>
      </x:c>
      <x:c r="C57" s="26" t="str">
        <x:v>Kaytron Allen</x:v>
      </x:c>
      <x:c r="D57" s="26" t="str">
        <x:v>WAS</x:v>
      </x:c>
      <x:c r="E57" s="28" t="n">
        <x:v>86.4</x:v>
      </x:c>
      <x:c r="F57" s="28" t="str">
        <x:v>RB|53</x:v>
      </x:c>
      <x:c r="G57" s="28" t="n">
        <x:f>XLOOKUP(A57,'Assumptions'!$A$12:$A$15,'Assumptions'!$C$12:$C$15)</x:f>
        <x:v>124.5</x:v>
      </x:c>
      <x:c r="H57" s="28" t="n">
        <x:f>E57-G57</x:f>
        <x:v>-38.099999999999994</x:v>
      </x:c>
      <x:c r="I57" s="29" t="n">
        <x:v>0</x:v>
      </x:c>
      <x:c r="J57" s="28" t="n">
        <x:f>H57+I57</x:f>
        <x:v>-38.099999999999994</x:v>
      </x:c>
      <x:c r="K57" s="26" t="str">
        <x:v>Projection-only v1.0</x:v>
      </x:c>
      <x:c r="L57" s="26" t="n">
        <x:f>RANK.EQ(J57,$J$5:$J$619,0)</x:f>
        <x:v>170</x:v>
      </x:c>
      <x:c r="M57" s="26" t="str">
        <x:f>IF(I57=0,"PROJECTION ONLY","EDITORIAL ADJUSTMENT")</x:f>
        <x:v>PROJECTION ONLY</x:v>
      </x:c>
    </x:row>
    <x:row r="58">
      <x:c r="A58" s="26" t="str">
        <x:v>RB</x:v>
      </x:c>
      <x:c r="B58" s="26" t="n">
        <x:v>54</x:v>
      </x:c>
      <x:c r="C58" s="26" t="str">
        <x:v>Brian Robinson Jr.</x:v>
      </x:c>
      <x:c r="D58" s="26" t="str">
        <x:v>ATL</x:v>
      </x:c>
      <x:c r="E58" s="28" t="n">
        <x:v>86.8</x:v>
      </x:c>
      <x:c r="F58" s="28" t="str">
        <x:v>RB|54</x:v>
      </x:c>
      <x:c r="G58" s="28" t="n">
        <x:f>XLOOKUP(A58,'Assumptions'!$A$12:$A$15,'Assumptions'!$C$12:$C$15)</x:f>
        <x:v>124.5</x:v>
      </x:c>
      <x:c r="H58" s="28" t="n">
        <x:f>E58-G58</x:f>
        <x:v>-37.7</x:v>
      </x:c>
      <x:c r="I58" s="29" t="n">
        <x:v>0</x:v>
      </x:c>
      <x:c r="J58" s="28" t="n">
        <x:f>H58+I58</x:f>
        <x:v>-37.7</x:v>
      </x:c>
      <x:c r="K58" s="26" t="str">
        <x:v>Projection-only v1.0</x:v>
      </x:c>
      <x:c r="L58" s="26" t="n">
        <x:f>RANK.EQ(J58,$J$5:$J$619,0)</x:f>
        <x:v>168</x:v>
      </x:c>
      <x:c r="M58" s="26" t="str">
        <x:f>IF(I58=0,"PROJECTION ONLY","EDITORIAL ADJUSTMENT")</x:f>
        <x:v>PROJECTION ONLY</x:v>
      </x:c>
    </x:row>
    <x:row r="59">
      <x:c r="A59" s="26" t="str">
        <x:v>RB</x:v>
      </x:c>
      <x:c r="B59" s="26" t="n">
        <x:v>55</x:v>
      </x:c>
      <x:c r="C59" s="26" t="str">
        <x:v>MarShawn Lloyd</x:v>
      </x:c>
      <x:c r="D59" s="26" t="str">
        <x:v>GB</x:v>
      </x:c>
      <x:c r="E59" s="28" t="n">
        <x:v>80.5</x:v>
      </x:c>
      <x:c r="F59" s="28" t="str">
        <x:v>RB|55</x:v>
      </x:c>
      <x:c r="G59" s="28" t="n">
        <x:f>XLOOKUP(A59,'Assumptions'!$A$12:$A$15,'Assumptions'!$C$12:$C$15)</x:f>
        <x:v>124.5</x:v>
      </x:c>
      <x:c r="H59" s="28" t="n">
        <x:f>E59-G59</x:f>
        <x:v>-44</x:v>
      </x:c>
      <x:c r="I59" s="29" t="n">
        <x:v>0</x:v>
      </x:c>
      <x:c r="J59" s="28" t="n">
        <x:f>H59+I59</x:f>
        <x:v>-44</x:v>
      </x:c>
      <x:c r="K59" s="26" t="str">
        <x:v>Projection-only v1.0</x:v>
      </x:c>
      <x:c r="L59" s="26" t="n">
        <x:f>RANK.EQ(J59,$J$5:$J$619,0)</x:f>
        <x:v>179</x:v>
      </x:c>
      <x:c r="M59" s="26" t="str">
        <x:f>IF(I59=0,"PROJECTION ONLY","EDITORIAL ADJUSTMENT")</x:f>
        <x:v>PROJECTION ONLY</x:v>
      </x:c>
    </x:row>
    <x:row r="60">
      <x:c r="A60" s="26" t="str">
        <x:v>RB</x:v>
      </x:c>
      <x:c r="B60" s="26" t="n">
        <x:v>56</x:v>
      </x:c>
      <x:c r="C60" s="26" t="str">
        <x:v>Jaylen Wright</x:v>
      </x:c>
      <x:c r="D60" s="26" t="str">
        <x:v>MIA</x:v>
      </x:c>
      <x:c r="E60" s="28" t="n">
        <x:v>81.8</x:v>
      </x:c>
      <x:c r="F60" s="28" t="str">
        <x:v>RB|56</x:v>
      </x:c>
      <x:c r="G60" s="28" t="n">
        <x:f>XLOOKUP(A60,'Assumptions'!$A$12:$A$15,'Assumptions'!$C$12:$C$15)</x:f>
        <x:v>124.5</x:v>
      </x:c>
      <x:c r="H60" s="28" t="n">
        <x:f>E60-G60</x:f>
        <x:v>-42.7</x:v>
      </x:c>
      <x:c r="I60" s="29" t="n">
        <x:v>0</x:v>
      </x:c>
      <x:c r="J60" s="28" t="n">
        <x:f>H60+I60</x:f>
        <x:v>-42.7</x:v>
      </x:c>
      <x:c r="K60" s="26" t="str">
        <x:v>Projection-only v1.0</x:v>
      </x:c>
      <x:c r="L60" s="26" t="n">
        <x:f>RANK.EQ(J60,$J$5:$J$619,0)</x:f>
        <x:v>176</x:v>
      </x:c>
      <x:c r="M60" s="26" t="str">
        <x:f>IF(I60=0,"PROJECTION ONLY","EDITORIAL ADJUSTMENT")</x:f>
        <x:v>PROJECTION ONLY</x:v>
      </x:c>
    </x:row>
    <x:row r="61">
      <x:c r="A61" s="26" t="str">
        <x:v>RB</x:v>
      </x:c>
      <x:c r="B61" s="26" t="n">
        <x:v>57</x:v>
      </x:c>
      <x:c r="C61" s="26" t="str">
        <x:v>Keaton Mitchell</x:v>
      </x:c>
      <x:c r="D61" s="26" t="str">
        <x:v>LAC</x:v>
      </x:c>
      <x:c r="E61" s="28" t="n">
        <x:v>78.8</x:v>
      </x:c>
      <x:c r="F61" s="28" t="str">
        <x:v>RB|57</x:v>
      </x:c>
      <x:c r="G61" s="28" t="n">
        <x:f>XLOOKUP(A61,'Assumptions'!$A$12:$A$15,'Assumptions'!$C$12:$C$15)</x:f>
        <x:v>124.5</x:v>
      </x:c>
      <x:c r="H61" s="28" t="n">
        <x:f>E61-G61</x:f>
        <x:v>-45.7</x:v>
      </x:c>
      <x:c r="I61" s="29" t="n">
        <x:v>0</x:v>
      </x:c>
      <x:c r="J61" s="28" t="n">
        <x:f>H61+I61</x:f>
        <x:v>-45.7</x:v>
      </x:c>
      <x:c r="K61" s="26" t="str">
        <x:v>Projection-only v1.0</x:v>
      </x:c>
      <x:c r="L61" s="26" t="n">
        <x:f>RANK.EQ(J61,$J$5:$J$619,0)</x:f>
        <x:v>187</x:v>
      </x:c>
      <x:c r="M61" s="26" t="str">
        <x:f>IF(I61=0,"PROJECTION ONLY","EDITORIAL ADJUSTMENT")</x:f>
        <x:v>PROJECTION ONLY</x:v>
      </x:c>
    </x:row>
    <x:row r="62">
      <x:c r="A62" s="26" t="str">
        <x:v>RB</x:v>
      </x:c>
      <x:c r="B62" s="26" t="n">
        <x:v>58</x:v>
      </x:c>
      <x:c r="C62" s="26" t="str">
        <x:v>Dylan Sampson</x:v>
      </x:c>
      <x:c r="D62" s="26" t="str">
        <x:v>CLE</x:v>
      </x:c>
      <x:c r="E62" s="28" t="n">
        <x:v>69.7</x:v>
      </x:c>
      <x:c r="F62" s="28" t="str">
        <x:v>RB|58</x:v>
      </x:c>
      <x:c r="G62" s="28" t="n">
        <x:f>XLOOKUP(A62,'Assumptions'!$A$12:$A$15,'Assumptions'!$C$12:$C$15)</x:f>
        <x:v>124.5</x:v>
      </x:c>
      <x:c r="H62" s="28" t="n">
        <x:f>E62-G62</x:f>
        <x:v>-54.8</x:v>
      </x:c>
      <x:c r="I62" s="29" t="n">
        <x:v>0</x:v>
      </x:c>
      <x:c r="J62" s="28" t="n">
        <x:f>H62+I62</x:f>
        <x:v>-54.8</x:v>
      </x:c>
      <x:c r="K62" s="26" t="str">
        <x:v>Projection-only v1.0</x:v>
      </x:c>
      <x:c r="L62" s="26" t="n">
        <x:f>RANK.EQ(J62,$J$5:$J$619,0)</x:f>
        <x:v>206</x:v>
      </x:c>
      <x:c r="M62" s="26" t="str">
        <x:f>IF(I62=0,"PROJECTION ONLY","EDITORIAL ADJUSTMENT")</x:f>
        <x:v>PROJECTION ONLY</x:v>
      </x:c>
    </x:row>
    <x:row r="63">
      <x:c r="A63" s="26" t="str">
        <x:v>RB</x:v>
      </x:c>
      <x:c r="B63" s="26" t="n">
        <x:v>59</x:v>
      </x:c>
      <x:c r="C63" s="26" t="str">
        <x:v>LeQuint Allen Jr.</x:v>
      </x:c>
      <x:c r="D63" s="26" t="str">
        <x:v>JAX</x:v>
      </x:c>
      <x:c r="E63" s="28" t="n">
        <x:v>62.4</x:v>
      </x:c>
      <x:c r="F63" s="28" t="str">
        <x:v>RB|59</x:v>
      </x:c>
      <x:c r="G63" s="28" t="n">
        <x:f>XLOOKUP(A63,'Assumptions'!$A$12:$A$15,'Assumptions'!$C$12:$C$15)</x:f>
        <x:v>124.5</x:v>
      </x:c>
      <x:c r="H63" s="28" t="n">
        <x:f>E63-G63</x:f>
        <x:v>-62.1</x:v>
      </x:c>
      <x:c r="I63" s="29" t="n">
        <x:v>0</x:v>
      </x:c>
      <x:c r="J63" s="28" t="n">
        <x:f>H63+I63</x:f>
        <x:v>-62.1</x:v>
      </x:c>
      <x:c r="K63" s="26" t="str">
        <x:v>Projection-only v1.0</x:v>
      </x:c>
      <x:c r="L63" s="26" t="n">
        <x:f>RANK.EQ(J63,$J$5:$J$619,0)</x:f>
        <x:v>226</x:v>
      </x:c>
      <x:c r="M63" s="26" t="str">
        <x:f>IF(I63=0,"PROJECTION ONLY","EDITORIAL ADJUSTMENT")</x:f>
        <x:v>PROJECTION ONLY</x:v>
      </x:c>
    </x:row>
    <x:row r="64">
      <x:c r="A64" s="26" t="str">
        <x:v>RB</x:v>
      </x:c>
      <x:c r="B64" s="26" t="n">
        <x:v>60</x:v>
      </x:c>
      <x:c r="C64" s="26" t="str">
        <x:v>Jordan James</x:v>
      </x:c>
      <x:c r="D64" s="26" t="str">
        <x:v>SF</x:v>
      </x:c>
      <x:c r="E64" s="28" t="n">
        <x:v>72.7</x:v>
      </x:c>
      <x:c r="F64" s="28" t="str">
        <x:v>RB|60</x:v>
      </x:c>
      <x:c r="G64" s="28" t="n">
        <x:f>XLOOKUP(A64,'Assumptions'!$A$12:$A$15,'Assumptions'!$C$12:$C$15)</x:f>
        <x:v>124.5</x:v>
      </x:c>
      <x:c r="H64" s="28" t="n">
        <x:f>E64-G64</x:f>
        <x:v>-51.8</x:v>
      </x:c>
      <x:c r="I64" s="29" t="n">
        <x:v>0</x:v>
      </x:c>
      <x:c r="J64" s="28" t="n">
        <x:f>H64+I64</x:f>
        <x:v>-51.8</x:v>
      </x:c>
      <x:c r="K64" s="26" t="str">
        <x:v>Projection-only v1.0</x:v>
      </x:c>
      <x:c r="L64" s="26" t="n">
        <x:f>RANK.EQ(J64,$J$5:$J$619,0)</x:f>
        <x:v>198</x:v>
      </x:c>
      <x:c r="M64" s="26" t="str">
        <x:f>IF(I64=0,"PROJECTION ONLY","EDITORIAL ADJUSTMENT")</x:f>
        <x:v>PROJECTION ONLY</x:v>
      </x:c>
    </x:row>
    <x:row r="65">
      <x:c r="A65" s="26" t="str">
        <x:v>RB</x:v>
      </x:c>
      <x:c r="B65" s="26" t="n">
        <x:v>61</x:v>
      </x:c>
      <x:c r="C65" s="26" t="str">
        <x:v>Braelon Allen</x:v>
      </x:c>
      <x:c r="D65" s="26" t="str">
        <x:v>NYJ</x:v>
      </x:c>
      <x:c r="E65" s="28" t="n">
        <x:v>71.3</x:v>
      </x:c>
      <x:c r="F65" s="28" t="str">
        <x:v>RB|61</x:v>
      </x:c>
      <x:c r="G65" s="28" t="n">
        <x:f>XLOOKUP(A65,'Assumptions'!$A$12:$A$15,'Assumptions'!$C$12:$C$15)</x:f>
        <x:v>124.5</x:v>
      </x:c>
      <x:c r="H65" s="28" t="n">
        <x:f>E65-G65</x:f>
        <x:v>-53.2</x:v>
      </x:c>
      <x:c r="I65" s="29" t="n">
        <x:v>0</x:v>
      </x:c>
      <x:c r="J65" s="28" t="n">
        <x:f>H65+I65</x:f>
        <x:v>-53.2</x:v>
      </x:c>
      <x:c r="K65" s="26" t="str">
        <x:v>Projection-only v1.0</x:v>
      </x:c>
      <x:c r="L65" s="26" t="n">
        <x:f>RANK.EQ(J65,$J$5:$J$619,0)</x:f>
        <x:v>202</x:v>
      </x:c>
      <x:c r="M65" s="26" t="str">
        <x:f>IF(I65=0,"PROJECTION ONLY","EDITORIAL ADJUSTMENT")</x:f>
        <x:v>PROJECTION ONLY</x:v>
      </x:c>
    </x:row>
    <x:row r="66">
      <x:c r="A66" s="26" t="str">
        <x:v>RB</x:v>
      </x:c>
      <x:c r="B66" s="26" t="n">
        <x:v>62</x:v>
      </x:c>
      <x:c r="C66" s="26" t="str">
        <x:v>James Conner</x:v>
      </x:c>
      <x:c r="D66" s="26" t="str">
        <x:v>ARI</x:v>
      </x:c>
      <x:c r="E66" s="28" t="n">
        <x:v>65.5</x:v>
      </x:c>
      <x:c r="F66" s="28" t="str">
        <x:v>RB|62</x:v>
      </x:c>
      <x:c r="G66" s="28" t="n">
        <x:f>XLOOKUP(A66,'Assumptions'!$A$12:$A$15,'Assumptions'!$C$12:$C$15)</x:f>
        <x:v>124.5</x:v>
      </x:c>
      <x:c r="H66" s="28" t="n">
        <x:f>E66-G66</x:f>
        <x:v>-59</x:v>
      </x:c>
      <x:c r="I66" s="29" t="n">
        <x:v>0</x:v>
      </x:c>
      <x:c r="J66" s="28" t="n">
        <x:f>H66+I66</x:f>
        <x:v>-59</x:v>
      </x:c>
      <x:c r="K66" s="26" t="str">
        <x:v>Projection-only v1.0</x:v>
      </x:c>
      <x:c r="L66" s="26" t="n">
        <x:f>RANK.EQ(J66,$J$5:$J$619,0)</x:f>
        <x:v>218</x:v>
      </x:c>
      <x:c r="M66" s="26" t="str">
        <x:f>IF(I66=0,"PROJECTION ONLY","EDITORIAL ADJUSTMENT")</x:f>
        <x:v>PROJECTION ONLY</x:v>
      </x:c>
    </x:row>
    <x:row r="67">
      <x:c r="A67" s="26" t="str">
        <x:v>RB</x:v>
      </x:c>
      <x:c r="B67" s="26" t="n">
        <x:v>63</x:v>
      </x:c>
      <x:c r="C67" s="26" t="str">
        <x:v>George Holani</x:v>
      </x:c>
      <x:c r="D67" s="26" t="str">
        <x:v>SEA</x:v>
      </x:c>
      <x:c r="E67" s="28" t="n">
        <x:v>67.9</x:v>
      </x:c>
      <x:c r="F67" s="28" t="str">
        <x:v>RB|63</x:v>
      </x:c>
      <x:c r="G67" s="28" t="n">
        <x:f>XLOOKUP(A67,'Assumptions'!$A$12:$A$15,'Assumptions'!$C$12:$C$15)</x:f>
        <x:v>124.5</x:v>
      </x:c>
      <x:c r="H67" s="28" t="n">
        <x:f>E67-G67</x:f>
        <x:v>-56.599999999999994</x:v>
      </x:c>
      <x:c r="I67" s="29" t="n">
        <x:v>0</x:v>
      </x:c>
      <x:c r="J67" s="28" t="n">
        <x:f>H67+I67</x:f>
        <x:v>-56.599999999999994</x:v>
      </x:c>
      <x:c r="K67" s="26" t="str">
        <x:v>Projection-only v1.0</x:v>
      </x:c>
      <x:c r="L67" s="26" t="n">
        <x:f>RANK.EQ(J67,$J$5:$J$619,0)</x:f>
        <x:v>208</x:v>
      </x:c>
      <x:c r="M67" s="26" t="str">
        <x:f>IF(I67=0,"PROJECTION ONLY","EDITORIAL ADJUSTMENT")</x:f>
        <x:v>PROJECTION ONLY</x:v>
      </x:c>
    </x:row>
    <x:row r="68">
      <x:c r="A68" s="26" t="str">
        <x:v>RB</x:v>
      </x:c>
      <x:c r="B68" s="26" t="n">
        <x:v>64</x:v>
      </x:c>
      <x:c r="C68" s="26" t="str">
        <x:v>AJ Dillon</x:v>
      </x:c>
      <x:c r="D68" s="26" t="str">
        <x:v>CAR</x:v>
      </x:c>
      <x:c r="E68" s="28" t="n">
        <x:v>66.1</x:v>
      </x:c>
      <x:c r="F68" s="28" t="str">
        <x:v>RB|64</x:v>
      </x:c>
      <x:c r="G68" s="28" t="n">
        <x:f>XLOOKUP(A68,'Assumptions'!$A$12:$A$15,'Assumptions'!$C$12:$C$15)</x:f>
        <x:v>124.5</x:v>
      </x:c>
      <x:c r="H68" s="28" t="n">
        <x:f>E68-G68</x:f>
        <x:v>-58.400000000000006</x:v>
      </x:c>
      <x:c r="I68" s="29" t="n">
        <x:v>0</x:v>
      </x:c>
      <x:c r="J68" s="28" t="n">
        <x:f>H68+I68</x:f>
        <x:v>-58.400000000000006</x:v>
      </x:c>
      <x:c r="K68" s="26" t="str">
        <x:v>Projection-only v1.0</x:v>
      </x:c>
      <x:c r="L68" s="26" t="n">
        <x:f>RANK.EQ(J68,$J$5:$J$619,0)</x:f>
        <x:v>214</x:v>
      </x:c>
      <x:c r="M68" s="26" t="str">
        <x:f>IF(I68=0,"PROJECTION ONLY","EDITORIAL ADJUSTMENT")</x:f>
        <x:v>PROJECTION ONLY</x:v>
      </x:c>
    </x:row>
    <x:row r="69">
      <x:c r="A69" s="26" t="str">
        <x:v>RB</x:v>
      </x:c>
      <x:c r="B69" s="26" t="n">
        <x:v>65</x:v>
      </x:c>
      <x:c r="C69" s="26" t="str">
        <x:v>Tank Bigsby</x:v>
      </x:c>
      <x:c r="D69" s="26" t="str">
        <x:v>PHI</x:v>
      </x:c>
      <x:c r="E69" s="28" t="n">
        <x:v>67.9</x:v>
      </x:c>
      <x:c r="F69" s="28" t="str">
        <x:v>RB|65</x:v>
      </x:c>
      <x:c r="G69" s="28" t="n">
        <x:f>XLOOKUP(A69,'Assumptions'!$A$12:$A$15,'Assumptions'!$C$12:$C$15)</x:f>
        <x:v>124.5</x:v>
      </x:c>
      <x:c r="H69" s="28" t="n">
        <x:f>E69-G69</x:f>
        <x:v>-56.599999999999994</x:v>
      </x:c>
      <x:c r="I69" s="29" t="n">
        <x:v>0</x:v>
      </x:c>
      <x:c r="J69" s="28" t="n">
        <x:f>H69+I69</x:f>
        <x:v>-56.599999999999994</x:v>
      </x:c>
      <x:c r="K69" s="26" t="str">
        <x:v>Projection-only v1.0</x:v>
      </x:c>
      <x:c r="L69" s="26" t="n">
        <x:f>RANK.EQ(J69,$J$5:$J$619,0)</x:f>
        <x:v>208</x:v>
      </x:c>
      <x:c r="M69" s="26" t="str">
        <x:f>IF(I69=0,"PROJECTION ONLY","EDITORIAL ADJUSTMENT")</x:f>
        <x:v>PROJECTION ONLY</x:v>
      </x:c>
    </x:row>
    <x:row r="70">
      <x:c r="A70" s="26" t="str">
        <x:v>RB</x:v>
      </x:c>
      <x:c r="B70" s="26" t="n">
        <x:v>66</x:v>
      </x:c>
      <x:c r="C70" s="26" t="str">
        <x:v>Demond Claiborne</x:v>
      </x:c>
      <x:c r="D70" s="26" t="str">
        <x:v>MIN</x:v>
      </x:c>
      <x:c r="E70" s="28" t="n">
        <x:v>61</x:v>
      </x:c>
      <x:c r="F70" s="28" t="str">
        <x:v>RB|66</x:v>
      </x:c>
      <x:c r="G70" s="28" t="n">
        <x:f>XLOOKUP(A70,'Assumptions'!$A$12:$A$15,'Assumptions'!$C$12:$C$15)</x:f>
        <x:v>124.5</x:v>
      </x:c>
      <x:c r="H70" s="28" t="n">
        <x:f>E70-G70</x:f>
        <x:v>-63.5</x:v>
      </x:c>
      <x:c r="I70" s="29" t="n">
        <x:v>0</x:v>
      </x:c>
      <x:c r="J70" s="28" t="n">
        <x:f>H70+I70</x:f>
        <x:v>-63.5</x:v>
      </x:c>
      <x:c r="K70" s="26" t="str">
        <x:v>Projection-only v1.0</x:v>
      </x:c>
      <x:c r="L70" s="26" t="n">
        <x:f>RANK.EQ(J70,$J$5:$J$619,0)</x:f>
        <x:v>227</x:v>
      </x:c>
      <x:c r="M70" s="26" t="str">
        <x:f>IF(I70=0,"PROJECTION ONLY","EDITORIAL ADJUSTMENT")</x:f>
        <x:v>PROJECTION ONLY</x:v>
      </x:c>
    </x:row>
    <x:row r="71">
      <x:c r="A71" s="26" t="str">
        <x:v>RB</x:v>
      </x:c>
      <x:c r="B71" s="26" t="n">
        <x:v>67</x:v>
      </x:c>
      <x:c r="C71" s="26" t="str">
        <x:v>Chris Brooks</x:v>
      </x:c>
      <x:c r="D71" s="26" t="str">
        <x:v>GB</x:v>
      </x:c>
      <x:c r="E71" s="28" t="n">
        <x:v>55.8</x:v>
      </x:c>
      <x:c r="F71" s="28" t="str">
        <x:v>RB|67</x:v>
      </x:c>
      <x:c r="G71" s="28" t="n">
        <x:f>XLOOKUP(A71,'Assumptions'!$A$12:$A$15,'Assumptions'!$C$12:$C$15)</x:f>
        <x:v>124.5</x:v>
      </x:c>
      <x:c r="H71" s="28" t="n">
        <x:f>E71-G71</x:f>
        <x:v>-68.7</x:v>
      </x:c>
      <x:c r="I71" s="29" t="n">
        <x:v>0</x:v>
      </x:c>
      <x:c r="J71" s="28" t="n">
        <x:f>H71+I71</x:f>
        <x:v>-68.7</x:v>
      </x:c>
      <x:c r="K71" s="26" t="str">
        <x:v>Projection-only v1.0</x:v>
      </x:c>
      <x:c r="L71" s="26" t="n">
        <x:f>RANK.EQ(J71,$J$5:$J$619,0)</x:f>
        <x:v>244</x:v>
      </x:c>
      <x:c r="M71" s="26" t="str">
        <x:f>IF(I71=0,"PROJECTION ONLY","EDITORIAL ADJUSTMENT")</x:f>
        <x:v>PROJECTION ONLY</x:v>
      </x:c>
    </x:row>
    <x:row r="72">
      <x:c r="A72" s="26" t="str">
        <x:v>RB</x:v>
      </x:c>
      <x:c r="B72" s="26" t="n">
        <x:v>68</x:v>
      </x:c>
      <x:c r="C72" s="26" t="str">
        <x:v>Sean Tucker</x:v>
      </x:c>
      <x:c r="D72" s="26" t="str">
        <x:v>TB</x:v>
      </x:c>
      <x:c r="E72" s="28" t="n">
        <x:v>60.4</x:v>
      </x:c>
      <x:c r="F72" s="28" t="str">
        <x:v>RB|68</x:v>
      </x:c>
      <x:c r="G72" s="28" t="n">
        <x:f>XLOOKUP(A72,'Assumptions'!$A$12:$A$15,'Assumptions'!$C$12:$C$15)</x:f>
        <x:v>124.5</x:v>
      </x:c>
      <x:c r="H72" s="28" t="n">
        <x:f>E72-G72</x:f>
        <x:v>-64.1</x:v>
      </x:c>
      <x:c r="I72" s="29" t="n">
        <x:v>0</x:v>
      </x:c>
      <x:c r="J72" s="28" t="n">
        <x:f>H72+I72</x:f>
        <x:v>-64.1</x:v>
      </x:c>
      <x:c r="K72" s="26" t="str">
        <x:v>Projection-only v1.0</x:v>
      </x:c>
      <x:c r="L72" s="26" t="n">
        <x:f>RANK.EQ(J72,$J$5:$J$619,0)</x:f>
        <x:v>230</x:v>
      </x:c>
      <x:c r="M72" s="26" t="str">
        <x:f>IF(I72=0,"PROJECTION ONLY","EDITORIAL ADJUSTMENT")</x:f>
        <x:v>PROJECTION ONLY</x:v>
      </x:c>
    </x:row>
    <x:row r="73">
      <x:c r="A73" s="26" t="str">
        <x:v>RB</x:v>
      </x:c>
      <x:c r="B73" s="26" t="n">
        <x:v>69</x:v>
      </x:c>
      <x:c r="C73" s="26" t="str">
        <x:v>Jonah Coleman</x:v>
      </x:c>
      <x:c r="D73" s="26" t="str">
        <x:v>DEN</x:v>
      </x:c>
      <x:c r="E73" s="28" t="n">
        <x:v>54</x:v>
      </x:c>
      <x:c r="F73" s="28" t="str">
        <x:v>RB|69</x:v>
      </x:c>
      <x:c r="G73" s="28" t="n">
        <x:f>XLOOKUP(A73,'Assumptions'!$A$12:$A$15,'Assumptions'!$C$12:$C$15)</x:f>
        <x:v>124.5</x:v>
      </x:c>
      <x:c r="H73" s="28" t="n">
        <x:f>E73-G73</x:f>
        <x:v>-70.5</x:v>
      </x:c>
      <x:c r="I73" s="29" t="n">
        <x:v>0</x:v>
      </x:c>
      <x:c r="J73" s="28" t="n">
        <x:f>H73+I73</x:f>
        <x:v>-70.5</x:v>
      </x:c>
      <x:c r="K73" s="26" t="str">
        <x:v>Projection-only v1.0</x:v>
      </x:c>
      <x:c r="L73" s="26" t="n">
        <x:f>RANK.EQ(J73,$J$5:$J$619,0)</x:f>
        <x:v>247</x:v>
      </x:c>
      <x:c r="M73" s="26" t="str">
        <x:f>IF(I73=0,"PROJECTION ONLY","EDITORIAL ADJUSTMENT")</x:f>
        <x:v>PROJECTION ONLY</x:v>
      </x:c>
    </x:row>
    <x:row r="74">
      <x:c r="A74" s="26" t="str">
        <x:v>RB</x:v>
      </x:c>
      <x:c r="B74" s="26" t="n">
        <x:v>70</x:v>
      </x:c>
      <x:c r="C74" s="26" t="str">
        <x:v>Justice Hill</x:v>
      </x:c>
      <x:c r="D74" s="26" t="str">
        <x:v>BAL</x:v>
      </x:c>
      <x:c r="E74" s="28" t="n">
        <x:v>51.2</x:v>
      </x:c>
      <x:c r="F74" s="28" t="str">
        <x:v>RB|70</x:v>
      </x:c>
      <x:c r="G74" s="28" t="n">
        <x:f>XLOOKUP(A74,'Assumptions'!$A$12:$A$15,'Assumptions'!$C$12:$C$15)</x:f>
        <x:v>124.5</x:v>
      </x:c>
      <x:c r="H74" s="28" t="n">
        <x:f>E74-G74</x:f>
        <x:v>-73.3</x:v>
      </x:c>
      <x:c r="I74" s="29" t="n">
        <x:v>0</x:v>
      </x:c>
      <x:c r="J74" s="28" t="n">
        <x:f>H74+I74</x:f>
        <x:v>-73.3</x:v>
      </x:c>
      <x:c r="K74" s="26" t="str">
        <x:v>Projection-only v1.0</x:v>
      </x:c>
      <x:c r="L74" s="26" t="n">
        <x:f>RANK.EQ(J74,$J$5:$J$619,0)</x:f>
        <x:v>250</x:v>
      </x:c>
      <x:c r="M74" s="26" t="str">
        <x:f>IF(I74=0,"PROJECTION ONLY","EDITORIAL ADJUSTMENT")</x:f>
        <x:v>PROJECTION ONLY</x:v>
      </x:c>
    </x:row>
    <x:row r="75">
      <x:c r="A75" s="26" t="str">
        <x:v>RB</x:v>
      </x:c>
      <x:c r="B75" s="26" t="n">
        <x:v>71</x:v>
      </x:c>
      <x:c r="C75" s="26" t="str">
        <x:v>Kimani Vidal</x:v>
      </x:c>
      <x:c r="D75" s="26" t="str">
        <x:v>LAC</x:v>
      </x:c>
      <x:c r="E75" s="28" t="n">
        <x:v>53.7</x:v>
      </x:c>
      <x:c r="F75" s="28" t="str">
        <x:v>RB|71</x:v>
      </x:c>
      <x:c r="G75" s="28" t="n">
        <x:f>XLOOKUP(A75,'Assumptions'!$A$12:$A$15,'Assumptions'!$C$12:$C$15)</x:f>
        <x:v>124.5</x:v>
      </x:c>
      <x:c r="H75" s="28" t="n">
        <x:f>E75-G75</x:f>
        <x:v>-70.8</x:v>
      </x:c>
      <x:c r="I75" s="29" t="n">
        <x:v>0</x:v>
      </x:c>
      <x:c r="J75" s="28" t="n">
        <x:f>H75+I75</x:f>
        <x:v>-70.8</x:v>
      </x:c>
      <x:c r="K75" s="26" t="str">
        <x:v>Projection-only v1.0</x:v>
      </x:c>
      <x:c r="L75" s="26" t="n">
        <x:f>RANK.EQ(J75,$J$5:$J$619,0)</x:f>
        <x:v>248</x:v>
      </x:c>
      <x:c r="M75" s="26" t="str">
        <x:f>IF(I75=0,"PROJECTION ONLY","EDITORIAL ADJUSTMENT")</x:f>
        <x:v>PROJECTION ONLY</x:v>
      </x:c>
    </x:row>
    <x:row r="76">
      <x:c r="A76" s="26" t="str">
        <x:v>RB</x:v>
      </x:c>
      <x:c r="B76" s="26" t="n">
        <x:v>72</x:v>
      </x:c>
      <x:c r="C76" s="26" t="str">
        <x:v>Jawhar Jordan</x:v>
      </x:c>
      <x:c r="D76" s="26" t="str">
        <x:v>HOU</x:v>
      </x:c>
      <x:c r="E76" s="28" t="n">
        <x:v>47.4</x:v>
      </x:c>
      <x:c r="F76" s="28" t="str">
        <x:v>RB|72</x:v>
      </x:c>
      <x:c r="G76" s="28" t="n">
        <x:f>XLOOKUP(A76,'Assumptions'!$A$12:$A$15,'Assumptions'!$C$12:$C$15)</x:f>
        <x:v>124.5</x:v>
      </x:c>
      <x:c r="H76" s="28" t="n">
        <x:f>E76-G76</x:f>
        <x:v>-77.1</x:v>
      </x:c>
      <x:c r="I76" s="29" t="n">
        <x:v>0</x:v>
      </x:c>
      <x:c r="J76" s="28" t="n">
        <x:f>H76+I76</x:f>
        <x:v>-77.1</x:v>
      </x:c>
      <x:c r="K76" s="26" t="str">
        <x:v>Projection-only v1.0</x:v>
      </x:c>
      <x:c r="L76" s="26" t="n">
        <x:f>RANK.EQ(J76,$J$5:$J$619,0)</x:f>
        <x:v>257</x:v>
      </x:c>
      <x:c r="M76" s="26" t="str">
        <x:f>IF(I76=0,"PROJECTION ONLY","EDITORIAL ADJUSTMENT")</x:f>
        <x:v>PROJECTION ONLY</x:v>
      </x:c>
    </x:row>
    <x:row r="77">
      <x:c r="A77" s="26" t="str">
        <x:v>RB</x:v>
      </x:c>
      <x:c r="B77" s="26" t="n">
        <x:v>73</x:v>
      </x:c>
      <x:c r="C77" s="26" t="str">
        <x:v>Malik Davis</x:v>
      </x:c>
      <x:c r="D77" s="26" t="str">
        <x:v>DAL</x:v>
      </x:c>
      <x:c r="E77" s="28" t="n">
        <x:v>47.9</x:v>
      </x:c>
      <x:c r="F77" s="28" t="str">
        <x:v>RB|73</x:v>
      </x:c>
      <x:c r="G77" s="28" t="n">
        <x:f>XLOOKUP(A77,'Assumptions'!$A$12:$A$15,'Assumptions'!$C$12:$C$15)</x:f>
        <x:v>124.5</x:v>
      </x:c>
      <x:c r="H77" s="28" t="n">
        <x:f>E77-G77</x:f>
        <x:v>-76.6</x:v>
      </x:c>
      <x:c r="I77" s="29" t="n">
        <x:v>0</x:v>
      </x:c>
      <x:c r="J77" s="28" t="n">
        <x:f>H77+I77</x:f>
        <x:v>-76.6</x:v>
      </x:c>
      <x:c r="K77" s="26" t="str">
        <x:v>Projection-only v1.0</x:v>
      </x:c>
      <x:c r="L77" s="26" t="n">
        <x:f>RANK.EQ(J77,$J$5:$J$619,0)</x:f>
        <x:v>256</x:v>
      </x:c>
      <x:c r="M77" s="26" t="str">
        <x:f>IF(I77=0,"PROJECTION ONLY","EDITORIAL ADJUSTMENT")</x:f>
        <x:v>PROJECTION ONLY</x:v>
      </x:c>
    </x:row>
    <x:row r="78">
      <x:c r="A78" s="26" t="str">
        <x:v>RB</x:v>
      </x:c>
      <x:c r="B78" s="26" t="n">
        <x:v>74</x:v>
      </x:c>
      <x:c r="C78" s="26" t="str">
        <x:v>Ray Davis</x:v>
      </x:c>
      <x:c r="D78" s="26" t="str">
        <x:v>BUF</x:v>
      </x:c>
      <x:c r="E78" s="28" t="n">
        <x:v>43.6</x:v>
      </x:c>
      <x:c r="F78" s="28" t="str">
        <x:v>RB|74</x:v>
      </x:c>
      <x:c r="G78" s="28" t="n">
        <x:f>XLOOKUP(A78,'Assumptions'!$A$12:$A$15,'Assumptions'!$C$12:$C$15)</x:f>
        <x:v>124.5</x:v>
      </x:c>
      <x:c r="H78" s="28" t="n">
        <x:f>E78-G78</x:f>
        <x:v>-80.9</x:v>
      </x:c>
      <x:c r="I78" s="29" t="n">
        <x:v>0</x:v>
      </x:c>
      <x:c r="J78" s="28" t="n">
        <x:f>H78+I78</x:f>
        <x:v>-80.9</x:v>
      </x:c>
      <x:c r="K78" s="26" t="str">
        <x:v>Projection-only v1.0</x:v>
      </x:c>
      <x:c r="L78" s="26" t="n">
        <x:f>RANK.EQ(J78,$J$5:$J$619,0)</x:f>
        <x:v>265</x:v>
      </x:c>
      <x:c r="M78" s="26" t="str">
        <x:f>IF(I78=0,"PROJECTION ONLY","EDITORIAL ADJUSTMENT")</x:f>
        <x:v>PROJECTION ONLY</x:v>
      </x:c>
    </x:row>
    <x:row r="79">
      <x:c r="A79" s="26" t="str">
        <x:v>RB</x:v>
      </x:c>
      <x:c r="B79" s="26" t="n">
        <x:v>75</x:v>
      </x:c>
      <x:c r="C79" s="26" t="str">
        <x:v>Tahj Brooks</x:v>
      </x:c>
      <x:c r="D79" s="26" t="str">
        <x:v>CIN</x:v>
      </x:c>
      <x:c r="E79" s="28" t="n">
        <x:v>46.1</x:v>
      </x:c>
      <x:c r="F79" s="28" t="str">
        <x:v>RB|75</x:v>
      </x:c>
      <x:c r="G79" s="28" t="n">
        <x:f>XLOOKUP(A79,'Assumptions'!$A$12:$A$15,'Assumptions'!$C$12:$C$15)</x:f>
        <x:v>124.5</x:v>
      </x:c>
      <x:c r="H79" s="28" t="n">
        <x:f>E79-G79</x:f>
        <x:v>-78.4</x:v>
      </x:c>
      <x:c r="I79" s="29" t="n">
        <x:v>0</x:v>
      </x:c>
      <x:c r="J79" s="28" t="n">
        <x:f>H79+I79</x:f>
        <x:v>-78.4</x:v>
      </x:c>
      <x:c r="K79" s="26" t="str">
        <x:v>Projection-only v1.0</x:v>
      </x:c>
      <x:c r="L79" s="26" t="n">
        <x:f>RANK.EQ(J79,$J$5:$J$619,0)</x:f>
        <x:v>261</x:v>
      </x:c>
      <x:c r="M79" s="26" t="str">
        <x:f>IF(I79=0,"PROJECTION ONLY","EDITORIAL ADJUSTMENT")</x:f>
        <x:v>PROJECTION ONLY</x:v>
      </x:c>
    </x:row>
    <x:row r="80">
      <x:c r="A80" s="26" t="str">
        <x:v>RB</x:v>
      </x:c>
      <x:c r="B80" s="26" t="n">
        <x:v>76</x:v>
      </x:c>
      <x:c r="C80" s="26" t="str">
        <x:v>Ollie Gordon II</x:v>
      </x:c>
      <x:c r="D80" s="26" t="str">
        <x:v>MIA</x:v>
      </x:c>
      <x:c r="E80" s="28" t="n">
        <x:v>40.7</x:v>
      </x:c>
      <x:c r="F80" s="28" t="str">
        <x:v>RB|76</x:v>
      </x:c>
      <x:c r="G80" s="28" t="n">
        <x:f>XLOOKUP(A80,'Assumptions'!$A$12:$A$15,'Assumptions'!$C$12:$C$15)</x:f>
        <x:v>124.5</x:v>
      </x:c>
      <x:c r="H80" s="28" t="n">
        <x:f>E80-G80</x:f>
        <x:v>-83.8</x:v>
      </x:c>
      <x:c r="I80" s="29" t="n">
        <x:v>0</x:v>
      </x:c>
      <x:c r="J80" s="28" t="n">
        <x:f>H80+I80</x:f>
        <x:v>-83.8</x:v>
      </x:c>
      <x:c r="K80" s="26" t="str">
        <x:v>Projection-only v1.0</x:v>
      </x:c>
      <x:c r="L80" s="26" t="n">
        <x:f>RANK.EQ(J80,$J$5:$J$619,0)</x:f>
        <x:v>270</x:v>
      </x:c>
      <x:c r="M80" s="26" t="str">
        <x:f>IF(I80=0,"PROJECTION ONLY","EDITORIAL ADJUSTMENT")</x:f>
        <x:v>PROJECTION ONLY</x:v>
      </x:c>
    </x:row>
    <x:row r="81">
      <x:c r="A81" s="26" t="str">
        <x:v>RB</x:v>
      </x:c>
      <x:c r="B81" s="26" t="n">
        <x:v>77</x:v>
      </x:c>
      <x:c r="C81" s="26" t="str">
        <x:v>Eli Heidenreich</x:v>
      </x:c>
      <x:c r="D81" s="26" t="str">
        <x:v>PIT</x:v>
      </x:c>
      <x:c r="E81" s="28" t="n">
        <x:v>40.6</x:v>
      </x:c>
      <x:c r="F81" s="28" t="str">
        <x:v>RB|77</x:v>
      </x:c>
      <x:c r="G81" s="28" t="n">
        <x:f>XLOOKUP(A81,'Assumptions'!$A$12:$A$15,'Assumptions'!$C$12:$C$15)</x:f>
        <x:v>124.5</x:v>
      </x:c>
      <x:c r="H81" s="28" t="n">
        <x:f>E81-G81</x:f>
        <x:v>-83.9</x:v>
      </x:c>
      <x:c r="I81" s="29" t="n">
        <x:v>0</x:v>
      </x:c>
      <x:c r="J81" s="28" t="n">
        <x:f>H81+I81</x:f>
        <x:v>-83.9</x:v>
      </x:c>
      <x:c r="K81" s="26" t="str">
        <x:v>Projection-only v1.0</x:v>
      </x:c>
      <x:c r="L81" s="26" t="n">
        <x:f>RANK.EQ(J81,$J$5:$J$619,0)</x:f>
        <x:v>271</x:v>
      </x:c>
      <x:c r="M81" s="26" t="str">
        <x:f>IF(I81=0,"PROJECTION ONLY","EDITORIAL ADJUSTMENT")</x:f>
        <x:v>PROJECTION ONLY</x:v>
      </x:c>
    </x:row>
    <x:row r="82">
      <x:c r="A82" s="26" t="str">
        <x:v>RB</x:v>
      </x:c>
      <x:c r="B82" s="26" t="n">
        <x:v>78</x:v>
      </x:c>
      <x:c r="C82" s="26" t="str">
        <x:v>Brashard Smith</x:v>
      </x:c>
      <x:c r="D82" s="26" t="str">
        <x:v>KC</x:v>
      </x:c>
      <x:c r="E82" s="28" t="n">
        <x:v>33.9</x:v>
      </x:c>
      <x:c r="F82" s="28" t="str">
        <x:v>RB|78</x:v>
      </x:c>
      <x:c r="G82" s="28" t="n">
        <x:f>XLOOKUP(A82,'Assumptions'!$A$12:$A$15,'Assumptions'!$C$12:$C$15)</x:f>
        <x:v>124.5</x:v>
      </x:c>
      <x:c r="H82" s="28" t="n">
        <x:f>E82-G82</x:f>
        <x:v>-90.6</x:v>
      </x:c>
      <x:c r="I82" s="29" t="n">
        <x:v>0</x:v>
      </x:c>
      <x:c r="J82" s="28" t="n">
        <x:f>H82+I82</x:f>
        <x:v>-90.6</x:v>
      </x:c>
      <x:c r="K82" s="26" t="str">
        <x:v>Projection-only v1.0</x:v>
      </x:c>
      <x:c r="L82" s="26" t="n">
        <x:f>RANK.EQ(J82,$J$5:$J$619,0)</x:f>
        <x:v>284</x:v>
      </x:c>
      <x:c r="M82" s="26" t="str">
        <x:f>IF(I82=0,"PROJECTION ONLY","EDITORIAL ADJUSTMENT")</x:f>
        <x:v>PROJECTION ONLY</x:v>
      </x:c>
    </x:row>
    <x:row r="83">
      <x:c r="A83" s="26" t="str">
        <x:v>RB</x:v>
      </x:c>
      <x:c r="B83" s="26" t="n">
        <x:v>79</x:v>
      </x:c>
      <x:c r="C83" s="26" t="str">
        <x:v>Jaydon Blue</x:v>
      </x:c>
      <x:c r="D83" s="26" t="str">
        <x:v>DAL</x:v>
      </x:c>
      <x:c r="E83" s="28" t="n">
        <x:v>35.6</x:v>
      </x:c>
      <x:c r="F83" s="28" t="str">
        <x:v>RB|79</x:v>
      </x:c>
      <x:c r="G83" s="28" t="n">
        <x:f>XLOOKUP(A83,'Assumptions'!$A$12:$A$15,'Assumptions'!$C$12:$C$15)</x:f>
        <x:v>124.5</x:v>
      </x:c>
      <x:c r="H83" s="28" t="n">
        <x:f>E83-G83</x:f>
        <x:v>-88.9</x:v>
      </x:c>
      <x:c r="I83" s="29" t="n">
        <x:v>0</x:v>
      </x:c>
      <x:c r="J83" s="28" t="n">
        <x:f>H83+I83</x:f>
        <x:v>-88.9</x:v>
      </x:c>
      <x:c r="K83" s="26" t="str">
        <x:v>Projection-only v1.0</x:v>
      </x:c>
      <x:c r="L83" s="26" t="n">
        <x:f>RANK.EQ(J83,$J$5:$J$619,0)</x:f>
        <x:v>280</x:v>
      </x:c>
      <x:c r="M83" s="26" t="str">
        <x:f>IF(I83=0,"PROJECTION ONLY","EDITORIAL ADJUSTMENT")</x:f>
        <x:v>PROJECTION ONLY</x:v>
      </x:c>
    </x:row>
    <x:row r="84">
      <x:c r="A84" s="26" t="str">
        <x:v>RB</x:v>
      </x:c>
      <x:c r="B84" s="26" t="n">
        <x:v>80</x:v>
      </x:c>
      <x:c r="C84" s="26" t="str">
        <x:v>Emanuel Wilson</x:v>
      </x:c>
      <x:c r="D84" s="26" t="str">
        <x:v>SEA</x:v>
      </x:c>
      <x:c r="E84" s="28" t="n">
        <x:v>33.4</x:v>
      </x:c>
      <x:c r="F84" s="28" t="str">
        <x:v>RB|80</x:v>
      </x:c>
      <x:c r="G84" s="28" t="n">
        <x:f>XLOOKUP(A84,'Assumptions'!$A$12:$A$15,'Assumptions'!$C$12:$C$15)</x:f>
        <x:v>124.5</x:v>
      </x:c>
      <x:c r="H84" s="28" t="n">
        <x:f>E84-G84</x:f>
        <x:v>-91.1</x:v>
      </x:c>
      <x:c r="I84" s="29" t="n">
        <x:v>0</x:v>
      </x:c>
      <x:c r="J84" s="28" t="n">
        <x:f>H84+I84</x:f>
        <x:v>-91.1</x:v>
      </x:c>
      <x:c r="K84" s="26" t="str">
        <x:v>Projection-only v1.0</x:v>
      </x:c>
      <x:c r="L84" s="26" t="n">
        <x:f>RANK.EQ(J84,$J$5:$J$619,0)</x:f>
        <x:v>286</x:v>
      </x:c>
      <x:c r="M84" s="26" t="str">
        <x:f>IF(I84=0,"PROJECTION ONLY","EDITORIAL ADJUSTMENT")</x:f>
        <x:v>PROJECTION ONLY</x:v>
      </x:c>
    </x:row>
    <x:row r="85">
      <x:c r="A85" s="26" t="str">
        <x:v>RB</x:v>
      </x:c>
      <x:c r="B85" s="26" t="n">
        <x:v>81</x:v>
      </x:c>
      <x:c r="C85" s="26" t="str">
        <x:v>Frank Gore Jr.</x:v>
      </x:c>
      <x:c r="D85" s="26" t="str">
        <x:v>BUF</x:v>
      </x:c>
      <x:c r="E85" s="28" t="n">
        <x:v>32.5</x:v>
      </x:c>
      <x:c r="F85" s="28" t="str">
        <x:v>RB|81</x:v>
      </x:c>
      <x:c r="G85" s="28" t="n">
        <x:f>XLOOKUP(A85,'Assumptions'!$A$12:$A$15,'Assumptions'!$C$12:$C$15)</x:f>
        <x:v>124.5</x:v>
      </x:c>
      <x:c r="H85" s="28" t="n">
        <x:f>E85-G85</x:f>
        <x:v>-92</x:v>
      </x:c>
      <x:c r="I85" s="29" t="n">
        <x:v>0</x:v>
      </x:c>
      <x:c r="J85" s="28" t="n">
        <x:f>H85+I85</x:f>
        <x:v>-92</x:v>
      </x:c>
      <x:c r="K85" s="26" t="str">
        <x:v>Projection-only v1.0</x:v>
      </x:c>
      <x:c r="L85" s="26" t="n">
        <x:f>RANK.EQ(J85,$J$5:$J$619,0)</x:f>
        <x:v>288</x:v>
      </x:c>
      <x:c r="M85" s="26" t="str">
        <x:f>IF(I85=0,"PROJECTION ONLY","EDITORIAL ADJUSTMENT")</x:f>
        <x:v>PROJECTION ONLY</x:v>
      </x:c>
    </x:row>
    <x:row r="86">
      <x:c r="A86" s="26" t="str">
        <x:v>RB</x:v>
      </x:c>
      <x:c r="B86" s="26" t="n">
        <x:v>82</x:v>
      </x:c>
      <x:c r="C86" s="26" t="str">
        <x:v>Seth McGowan</x:v>
      </x:c>
      <x:c r="D86" s="26" t="str">
        <x:v>IND</x:v>
      </x:c>
      <x:c r="E86" s="28" t="n">
        <x:v>31.4</x:v>
      </x:c>
      <x:c r="F86" s="28" t="str">
        <x:v>RB|82</x:v>
      </x:c>
      <x:c r="G86" s="28" t="n">
        <x:f>XLOOKUP(A86,'Assumptions'!$A$12:$A$15,'Assumptions'!$C$12:$C$15)</x:f>
        <x:v>124.5</x:v>
      </x:c>
      <x:c r="H86" s="28" t="n">
        <x:f>E86-G86</x:f>
        <x:v>-93.1</x:v>
      </x:c>
      <x:c r="I86" s="29" t="n">
        <x:v>0</x:v>
      </x:c>
      <x:c r="J86" s="28" t="n">
        <x:f>H86+I86</x:f>
        <x:v>-93.1</x:v>
      </x:c>
      <x:c r="K86" s="26" t="str">
        <x:v>Projection-only v1.0</x:v>
      </x:c>
      <x:c r="L86" s="26" t="n">
        <x:f>RANK.EQ(J86,$J$5:$J$619,0)</x:f>
        <x:v>293</x:v>
      </x:c>
      <x:c r="M86" s="26" t="str">
        <x:f>IF(I86=0,"PROJECTION ONLY","EDITORIAL ADJUSTMENT")</x:f>
        <x:v>PROJECTION ONLY</x:v>
      </x:c>
    </x:row>
    <x:row r="87">
      <x:c r="A87" s="26" t="str">
        <x:v>RB</x:v>
      </x:c>
      <x:c r="B87" s="26" t="n">
        <x:v>83</x:v>
      </x:c>
      <x:c r="C87" s="26" t="str">
        <x:v>Roschon Johnson</x:v>
      </x:c>
      <x:c r="D87" s="26" t="str">
        <x:v>CHI</x:v>
      </x:c>
      <x:c r="E87" s="28" t="n">
        <x:v>32.1</x:v>
      </x:c>
      <x:c r="F87" s="28" t="str">
        <x:v>RB|83</x:v>
      </x:c>
      <x:c r="G87" s="28" t="n">
        <x:f>XLOOKUP(A87,'Assumptions'!$A$12:$A$15,'Assumptions'!$C$12:$C$15)</x:f>
        <x:v>124.5</x:v>
      </x:c>
      <x:c r="H87" s="28" t="n">
        <x:f>E87-G87</x:f>
        <x:v>-92.4</x:v>
      </x:c>
      <x:c r="I87" s="29" t="n">
        <x:v>0</x:v>
      </x:c>
      <x:c r="J87" s="28" t="n">
        <x:f>H87+I87</x:f>
        <x:v>-92.4</x:v>
      </x:c>
      <x:c r="K87" s="26" t="str">
        <x:v>Projection-only v1.0</x:v>
      </x:c>
      <x:c r="L87" s="26" t="n">
        <x:f>RANK.EQ(J87,$J$5:$J$619,0)</x:f>
        <x:v>291</x:v>
      </x:c>
      <x:c r="M87" s="26" t="str">
        <x:f>IF(I87=0,"PROJECTION ONLY","EDITORIAL ADJUSTMENT")</x:f>
        <x:v>PROJECTION ONLY</x:v>
      </x:c>
    </x:row>
    <x:row r="88">
      <x:c r="A88" s="26" t="str">
        <x:v>RB</x:v>
      </x:c>
      <x:c r="B88" s="26" t="n">
        <x:v>84</x:v>
      </x:c>
      <x:c r="C88" s="26" t="str">
        <x:v>Kyle Juszczyk</x:v>
      </x:c>
      <x:c r="D88" s="26" t="str">
        <x:v>SF</x:v>
      </x:c>
      <x:c r="E88" s="28" t="n">
        <x:v>25.5</x:v>
      </x:c>
      <x:c r="F88" s="28" t="str">
        <x:v>RB|84</x:v>
      </x:c>
      <x:c r="G88" s="28" t="n">
        <x:f>XLOOKUP(A88,'Assumptions'!$A$12:$A$15,'Assumptions'!$C$12:$C$15)</x:f>
        <x:v>124.5</x:v>
      </x:c>
      <x:c r="H88" s="28" t="n">
        <x:f>E88-G88</x:f>
        <x:v>-99</x:v>
      </x:c>
      <x:c r="I88" s="29" t="n">
        <x:v>0</x:v>
      </x:c>
      <x:c r="J88" s="28" t="n">
        <x:f>H88+I88</x:f>
        <x:v>-99</x:v>
      </x:c>
      <x:c r="K88" s="26" t="str">
        <x:v>Projection-only v1.0</x:v>
      </x:c>
      <x:c r="L88" s="26" t="n">
        <x:f>RANK.EQ(J88,$J$5:$J$619,0)</x:f>
        <x:v>319</x:v>
      </x:c>
      <x:c r="M88" s="26" t="str">
        <x:f>IF(I88=0,"PROJECTION ONLY","EDITORIAL ADJUSTMENT")</x:f>
        <x:v>PROJECTION ONLY</x:v>
      </x:c>
    </x:row>
    <x:row r="89">
      <x:c r="A89" s="26" t="str">
        <x:v>RB</x:v>
      </x:c>
      <x:c r="B89" s="26" t="n">
        <x:v>85</x:v>
      </x:c>
      <x:c r="C89" s="26" t="str">
        <x:v>Devin Neal</x:v>
      </x:c>
      <x:c r="D89" s="26" t="str">
        <x:v>NO</x:v>
      </x:c>
      <x:c r="E89" s="28" t="n">
        <x:v>31.1</x:v>
      </x:c>
      <x:c r="F89" s="28" t="str">
        <x:v>RB|85</x:v>
      </x:c>
      <x:c r="G89" s="28" t="n">
        <x:f>XLOOKUP(A89,'Assumptions'!$A$12:$A$15,'Assumptions'!$C$12:$C$15)</x:f>
        <x:v>124.5</x:v>
      </x:c>
      <x:c r="H89" s="28" t="n">
        <x:f>E89-G89</x:f>
        <x:v>-93.4</x:v>
      </x:c>
      <x:c r="I89" s="29" t="n">
        <x:v>0</x:v>
      </x:c>
      <x:c r="J89" s="28" t="n">
        <x:f>H89+I89</x:f>
        <x:v>-93.4</x:v>
      </x:c>
      <x:c r="K89" s="26" t="str">
        <x:v>Projection-only v1.0</x:v>
      </x:c>
      <x:c r="L89" s="26" t="n">
        <x:f>RANK.EQ(J89,$J$5:$J$619,0)</x:f>
        <x:v>294</x:v>
      </x:c>
      <x:c r="M89" s="26" t="str">
        <x:f>IF(I89=0,"PROJECTION ONLY","EDITORIAL ADJUSTMENT")</x:f>
        <x:v>PROJECTION ONLY</x:v>
      </x:c>
    </x:row>
    <x:row r="90">
      <x:c r="A90" s="26" t="str">
        <x:v>RB</x:v>
      </x:c>
      <x:c r="B90" s="26" t="n">
        <x:v>86</x:v>
      </x:c>
      <x:c r="C90" s="26" t="str">
        <x:v>Terrell Jennings</x:v>
      </x:c>
      <x:c r="D90" s="26" t="str">
        <x:v>NE</x:v>
      </x:c>
      <x:c r="E90" s="28" t="n">
        <x:v>29.4</x:v>
      </x:c>
      <x:c r="F90" s="28" t="str">
        <x:v>RB|86</x:v>
      </x:c>
      <x:c r="G90" s="28" t="n">
        <x:f>XLOOKUP(A90,'Assumptions'!$A$12:$A$15,'Assumptions'!$C$12:$C$15)</x:f>
        <x:v>124.5</x:v>
      </x:c>
      <x:c r="H90" s="28" t="n">
        <x:f>E90-G90</x:f>
        <x:v>-95.1</x:v>
      </x:c>
      <x:c r="I90" s="29" t="n">
        <x:v>0</x:v>
      </x:c>
      <x:c r="J90" s="28" t="n">
        <x:f>H90+I90</x:f>
        <x:v>-95.1</x:v>
      </x:c>
      <x:c r="K90" s="26" t="str">
        <x:v>Projection-only v1.0</x:v>
      </x:c>
      <x:c r="L90" s="26" t="n">
        <x:f>RANK.EQ(J90,$J$5:$J$619,0)</x:f>
        <x:v>303</x:v>
      </x:c>
      <x:c r="M90" s="26" t="str">
        <x:f>IF(I90=0,"PROJECTION ONLY","EDITORIAL ADJUSTMENT")</x:f>
        <x:v>PROJECTION ONLY</x:v>
      </x:c>
    </x:row>
    <x:row r="91">
      <x:c r="A91" s="26" t="str">
        <x:v>RB</x:v>
      </x:c>
      <x:c r="B91" s="26" t="n">
        <x:v>87</x:v>
      </x:c>
      <x:c r="C91" s="26" t="str">
        <x:v>Kaelon Black</x:v>
      </x:c>
      <x:c r="D91" s="26" t="str">
        <x:v>SF</x:v>
      </x:c>
      <x:c r="E91" s="28" t="n">
        <x:v>30.6</x:v>
      </x:c>
      <x:c r="F91" s="28" t="str">
        <x:v>RB|87</x:v>
      </x:c>
      <x:c r="G91" s="28" t="n">
        <x:f>XLOOKUP(A91,'Assumptions'!$A$12:$A$15,'Assumptions'!$C$12:$C$15)</x:f>
        <x:v>124.5</x:v>
      </x:c>
      <x:c r="H91" s="28" t="n">
        <x:f>E91-G91</x:f>
        <x:v>-93.9</x:v>
      </x:c>
      <x:c r="I91" s="29" t="n">
        <x:v>0</x:v>
      </x:c>
      <x:c r="J91" s="28" t="n">
        <x:f>H91+I91</x:f>
        <x:v>-93.9</x:v>
      </x:c>
      <x:c r="K91" s="26" t="str">
        <x:v>Projection-only v1.0</x:v>
      </x:c>
      <x:c r="L91" s="26" t="n">
        <x:f>RANK.EQ(J91,$J$5:$J$619,0)</x:f>
        <x:v>297</x:v>
      </x:c>
      <x:c r="M91" s="26" t="str">
        <x:f>IF(I91=0,"PROJECTION ONLY","EDITORIAL ADJUSTMENT")</x:f>
        <x:v>PROJECTION ONLY</x:v>
      </x:c>
    </x:row>
    <x:row r="92">
      <x:c r="A92" s="26" t="str">
        <x:v>RB</x:v>
      </x:c>
      <x:c r="B92" s="26" t="n">
        <x:v>88</x:v>
      </x:c>
      <x:c r="C92" s="26" t="str">
        <x:v>Isaiah Davis</x:v>
      </x:c>
      <x:c r="D92" s="26" t="str">
        <x:v>NYJ</x:v>
      </x:c>
      <x:c r="E92" s="28" t="n">
        <x:v>27.8</x:v>
      </x:c>
      <x:c r="F92" s="28" t="str">
        <x:v>RB|88</x:v>
      </x:c>
      <x:c r="G92" s="28" t="n">
        <x:f>XLOOKUP(A92,'Assumptions'!$A$12:$A$15,'Assumptions'!$C$12:$C$15)</x:f>
        <x:v>124.5</x:v>
      </x:c>
      <x:c r="H92" s="28" t="n">
        <x:f>E92-G92</x:f>
        <x:v>-96.7</x:v>
      </x:c>
      <x:c r="I92" s="29" t="n">
        <x:v>0</x:v>
      </x:c>
      <x:c r="J92" s="28" t="n">
        <x:f>H92+I92</x:f>
        <x:v>-96.7</x:v>
      </x:c>
      <x:c r="K92" s="26" t="str">
        <x:v>Projection-only v1.0</x:v>
      </x:c>
      <x:c r="L92" s="26" t="n">
        <x:f>RANK.EQ(J92,$J$5:$J$619,0)</x:f>
        <x:v>309</x:v>
      </x:c>
      <x:c r="M92" s="26" t="str">
        <x:f>IF(I92=0,"PROJECTION ONLY","EDITORIAL ADJUSTMENT")</x:f>
        <x:v>PROJECTION ONLY</x:v>
      </x:c>
    </x:row>
    <x:row r="93">
      <x:c r="A93" s="26" t="str">
        <x:v>RB</x:v>
      </x:c>
      <x:c r="B93" s="26" t="n">
        <x:v>89</x:v>
      </x:c>
      <x:c r="C93" s="26" t="str">
        <x:v>Devin Singletary</x:v>
      </x:c>
      <x:c r="D93" s="26" t="str">
        <x:v>NYG</x:v>
      </x:c>
      <x:c r="E93" s="28" t="n">
        <x:v>28.8</x:v>
      </x:c>
      <x:c r="F93" s="28" t="str">
        <x:v>RB|89</x:v>
      </x:c>
      <x:c r="G93" s="28" t="n">
        <x:f>XLOOKUP(A93,'Assumptions'!$A$12:$A$15,'Assumptions'!$C$12:$C$15)</x:f>
        <x:v>124.5</x:v>
      </x:c>
      <x:c r="H93" s="28" t="n">
        <x:f>E93-G93</x:f>
        <x:v>-95.7</x:v>
      </x:c>
      <x:c r="I93" s="29" t="n">
        <x:v>0</x:v>
      </x:c>
      <x:c r="J93" s="28" t="n">
        <x:f>H93+I93</x:f>
        <x:v>-95.7</x:v>
      </x:c>
      <x:c r="K93" s="26" t="str">
        <x:v>Projection-only v1.0</x:v>
      </x:c>
      <x:c r="L93" s="26" t="n">
        <x:f>RANK.EQ(J93,$J$5:$J$619,0)</x:f>
        <x:v>305</x:v>
      </x:c>
      <x:c r="M93" s="26" t="str">
        <x:f>IF(I93=0,"PROJECTION ONLY","EDITORIAL ADJUSTMENT")</x:f>
        <x:v>PROJECTION ONLY</x:v>
      </x:c>
    </x:row>
    <x:row r="94">
      <x:c r="A94" s="26" t="str">
        <x:v>RB</x:v>
      </x:c>
      <x:c r="B94" s="26" t="n">
        <x:v>90</x:v>
      </x:c>
      <x:c r="C94" s="26" t="str">
        <x:v>Samaje Perine</x:v>
      </x:c>
      <x:c r="D94" s="26" t="str">
        <x:v>CIN</x:v>
      </x:c>
      <x:c r="E94" s="28" t="n">
        <x:v>27.3</x:v>
      </x:c>
      <x:c r="F94" s="28" t="str">
        <x:v>RB|90</x:v>
      </x:c>
      <x:c r="G94" s="28" t="n">
        <x:f>XLOOKUP(A94,'Assumptions'!$A$12:$A$15,'Assumptions'!$C$12:$C$15)</x:f>
        <x:v>124.5</x:v>
      </x:c>
      <x:c r="H94" s="28" t="n">
        <x:f>E94-G94</x:f>
        <x:v>-97.2</x:v>
      </x:c>
      <x:c r="I94" s="29" t="n">
        <x:v>0</x:v>
      </x:c>
      <x:c r="J94" s="28" t="n">
        <x:f>H94+I94</x:f>
        <x:v>-97.2</x:v>
      </x:c>
      <x:c r="K94" s="26" t="str">
        <x:v>Projection-only v1.0</x:v>
      </x:c>
      <x:c r="L94" s="26" t="n">
        <x:f>RANK.EQ(J94,$J$5:$J$619,0)</x:f>
        <x:v>312</x:v>
      </x:c>
      <x:c r="M94" s="26" t="str">
        <x:f>IF(I94=0,"PROJECTION ONLY","EDITORIAL ADJUSTMENT")</x:f>
        <x:v>PROJECTION ONLY</x:v>
      </x:c>
    </x:row>
    <x:row r="95">
      <x:c r="A95" s="26" t="str">
        <x:v>RB</x:v>
      </x:c>
      <x:c r="B95" s="26" t="n">
        <x:v>91</x:v>
      </x:c>
      <x:c r="C95" s="26" t="str">
        <x:v>Ty Johnson</x:v>
      </x:c>
      <x:c r="D95" s="26" t="str">
        <x:v>BUF</x:v>
      </x:c>
      <x:c r="E95" s="28" t="n">
        <x:v>26.7</x:v>
      </x:c>
      <x:c r="F95" s="28" t="str">
        <x:v>RB|91</x:v>
      </x:c>
      <x:c r="G95" s="28" t="n">
        <x:f>XLOOKUP(A95,'Assumptions'!$A$12:$A$15,'Assumptions'!$C$12:$C$15)</x:f>
        <x:v>124.5</x:v>
      </x:c>
      <x:c r="H95" s="28" t="n">
        <x:f>E95-G95</x:f>
        <x:v>-97.8</x:v>
      </x:c>
      <x:c r="I95" s="29" t="n">
        <x:v>0</x:v>
      </x:c>
      <x:c r="J95" s="28" t="n">
        <x:f>H95+I95</x:f>
        <x:v>-97.8</x:v>
      </x:c>
      <x:c r="K95" s="26" t="str">
        <x:v>Projection-only v1.0</x:v>
      </x:c>
      <x:c r="L95" s="26" t="n">
        <x:f>RANK.EQ(J95,$J$5:$J$619,0)</x:f>
        <x:v>316</x:v>
      </x:c>
      <x:c r="M95" s="26" t="str">
        <x:f>IF(I95=0,"PROJECTION ONLY","EDITORIAL ADJUSTMENT")</x:f>
        <x:v>PROJECTION ONLY</x:v>
      </x:c>
    </x:row>
    <x:row r="96">
      <x:c r="A96" s="26" t="str">
        <x:v>RB</x:v>
      </x:c>
      <x:c r="B96" s="26" t="n">
        <x:v>92</x:v>
      </x:c>
      <x:c r="C96" s="26" t="str">
        <x:v>Ty Chandler</x:v>
      </x:c>
      <x:c r="D96" s="26" t="str">
        <x:v>NO</x:v>
      </x:c>
      <x:c r="E96" s="28" t="n">
        <x:v>26.3</x:v>
      </x:c>
      <x:c r="F96" s="28" t="str">
        <x:v>RB|92</x:v>
      </x:c>
      <x:c r="G96" s="28" t="n">
        <x:f>XLOOKUP(A96,'Assumptions'!$A$12:$A$15,'Assumptions'!$C$12:$C$15)</x:f>
        <x:v>124.5</x:v>
      </x:c>
      <x:c r="H96" s="28" t="n">
        <x:f>E96-G96</x:f>
        <x:v>-98.2</x:v>
      </x:c>
      <x:c r="I96" s="29" t="n">
        <x:v>0</x:v>
      </x:c>
      <x:c r="J96" s="28" t="n">
        <x:f>H96+I96</x:f>
        <x:v>-98.2</x:v>
      </x:c>
      <x:c r="K96" s="26" t="str">
        <x:v>Projection-only v1.0</x:v>
      </x:c>
      <x:c r="L96" s="26" t="n">
        <x:f>RANK.EQ(J96,$J$5:$J$619,0)</x:f>
        <x:v>317</x:v>
      </x:c>
      <x:c r="M96" s="26" t="str">
        <x:f>IF(I96=0,"PROJECTION ONLY","EDITORIAL ADJUSTMENT")</x:f>
        <x:v>PROJECTION ONLY</x:v>
      </x:c>
    </x:row>
    <x:row r="97">
      <x:c r="A97" s="26" t="str">
        <x:v>RB</x:v>
      </x:c>
      <x:c r="B97" s="26" t="n">
        <x:v>93</x:v>
      </x:c>
      <x:c r="C97" s="26" t="str">
        <x:v>Kendre Miller</x:v>
      </x:c>
      <x:c r="D97" s="26" t="str">
        <x:v>NO</x:v>
      </x:c>
      <x:c r="E97" s="28" t="n">
        <x:v>27.3</x:v>
      </x:c>
      <x:c r="F97" s="28" t="str">
        <x:v>RB|93</x:v>
      </x:c>
      <x:c r="G97" s="28" t="n">
        <x:f>XLOOKUP(A97,'Assumptions'!$A$12:$A$15,'Assumptions'!$C$12:$C$15)</x:f>
        <x:v>124.5</x:v>
      </x:c>
      <x:c r="H97" s="28" t="n">
        <x:f>E97-G97</x:f>
        <x:v>-97.2</x:v>
      </x:c>
      <x:c r="I97" s="29" t="n">
        <x:v>0</x:v>
      </x:c>
      <x:c r="J97" s="28" t="n">
        <x:f>H97+I97</x:f>
        <x:v>-97.2</x:v>
      </x:c>
      <x:c r="K97" s="26" t="str">
        <x:v>Projection-only v1.0</x:v>
      </x:c>
      <x:c r="L97" s="26" t="n">
        <x:f>RANK.EQ(J97,$J$5:$J$619,0)</x:f>
        <x:v>312</x:v>
      </x:c>
      <x:c r="M97" s="26" t="str">
        <x:f>IF(I97=0,"PROJECTION ONLY","EDITORIAL ADJUSTMENT")</x:f>
        <x:v>PROJECTION ONLY</x:v>
      </x:c>
    </x:row>
    <x:row r="98">
      <x:c r="A98" s="26" t="str">
        <x:v>RB</x:v>
      </x:c>
      <x:c r="B98" s="26" t="n">
        <x:v>94</x:v>
      </x:c>
      <x:c r="C98" s="26" t="str">
        <x:v>Kaleb Johnson</x:v>
      </x:c>
      <x:c r="D98" s="26" t="str">
        <x:v>PIT</x:v>
      </x:c>
      <x:c r="E98" s="28" t="n">
        <x:v>27.5</x:v>
      </x:c>
      <x:c r="F98" s="28" t="str">
        <x:v>RB|94</x:v>
      </x:c>
      <x:c r="G98" s="28" t="n">
        <x:f>XLOOKUP(A98,'Assumptions'!$A$12:$A$15,'Assumptions'!$C$12:$C$15)</x:f>
        <x:v>124.5</x:v>
      </x:c>
      <x:c r="H98" s="28" t="n">
        <x:f>E98-G98</x:f>
        <x:v>-97</x:v>
      </x:c>
      <x:c r="I98" s="29" t="n">
        <x:v>0</x:v>
      </x:c>
      <x:c r="J98" s="28" t="n">
        <x:f>H98+I98</x:f>
        <x:v>-97</x:v>
      </x:c>
      <x:c r="K98" s="26" t="str">
        <x:v>Projection-only v1.0</x:v>
      </x:c>
      <x:c r="L98" s="26" t="n">
        <x:f>RANK.EQ(J98,$J$5:$J$619,0)</x:f>
        <x:v>311</x:v>
      </x:c>
      <x:c r="M98" s="26" t="str">
        <x:f>IF(I98=0,"PROJECTION ONLY","EDITORIAL ADJUSTMENT")</x:f>
        <x:v>PROJECTION ONLY</x:v>
      </x:c>
    </x:row>
    <x:row r="99">
      <x:c r="A99" s="26" t="str">
        <x:v>RB</x:v>
      </x:c>
      <x:c r="B99" s="26" t="n">
        <x:v>95</x:v>
      </x:c>
      <x:c r="C99" s="26" t="str">
        <x:v>Phil Mafah</x:v>
      </x:c>
      <x:c r="D99" s="26" t="str">
        <x:v>DAL</x:v>
      </x:c>
      <x:c r="E99" s="28" t="n">
        <x:v>25.5</x:v>
      </x:c>
      <x:c r="F99" s="28" t="str">
        <x:v>RB|95</x:v>
      </x:c>
      <x:c r="G99" s="28" t="n">
        <x:f>XLOOKUP(A99,'Assumptions'!$A$12:$A$15,'Assumptions'!$C$12:$C$15)</x:f>
        <x:v>124.5</x:v>
      </x:c>
      <x:c r="H99" s="28" t="n">
        <x:f>E99-G99</x:f>
        <x:v>-99</x:v>
      </x:c>
      <x:c r="I99" s="29" t="n">
        <x:v>0</x:v>
      </x:c>
      <x:c r="J99" s="28" t="n">
        <x:f>H99+I99</x:f>
        <x:v>-99</x:v>
      </x:c>
      <x:c r="K99" s="26" t="str">
        <x:v>Projection-only v1.0</x:v>
      </x:c>
      <x:c r="L99" s="26" t="n">
        <x:f>RANK.EQ(J99,$J$5:$J$619,0)</x:f>
        <x:v>319</x:v>
      </x:c>
      <x:c r="M99" s="26" t="str">
        <x:f>IF(I99=0,"PROJECTION ONLY","EDITORIAL ADJUSTMENT")</x:f>
        <x:v>PROJECTION ONLY</x:v>
      </x:c>
    </x:row>
    <x:row r="100">
      <x:c r="A100" s="26" t="str">
        <x:v>RB</x:v>
      </x:c>
      <x:c r="B100" s="26" t="n">
        <x:v>96</x:v>
      </x:c>
      <x:c r="C100" s="26" t="str">
        <x:v>J'Mari Taylor</x:v>
      </x:c>
      <x:c r="D100" s="26" t="str">
        <x:v>JAX</x:v>
      </x:c>
      <x:c r="E100" s="28" t="n">
        <x:v>25.5</x:v>
      </x:c>
      <x:c r="F100" s="28" t="str">
        <x:v>RB|96</x:v>
      </x:c>
      <x:c r="G100" s="28" t="n">
        <x:f>XLOOKUP(A100,'Assumptions'!$A$12:$A$15,'Assumptions'!$C$12:$C$15)</x:f>
        <x:v>124.5</x:v>
      </x:c>
      <x:c r="H100" s="28" t="n">
        <x:f>E100-G100</x:f>
        <x:v>-99</x:v>
      </x:c>
      <x:c r="I100" s="29" t="n">
        <x:v>0</x:v>
      </x:c>
      <x:c r="J100" s="28" t="n">
        <x:f>H100+I100</x:f>
        <x:v>-99</x:v>
      </x:c>
      <x:c r="K100" s="26" t="str">
        <x:v>Projection-only v1.0</x:v>
      </x:c>
      <x:c r="L100" s="26" t="n">
        <x:f>RANK.EQ(J100,$J$5:$J$619,0)</x:f>
        <x:v>319</x:v>
      </x:c>
      <x:c r="M100" s="26" t="str">
        <x:f>IF(I100=0,"PROJECTION ONLY","EDITORIAL ADJUSTMENT")</x:f>
        <x:v>PROJECTION ONLY</x:v>
      </x:c>
    </x:row>
    <x:row r="101">
      <x:c r="A101" s="26" t="str">
        <x:v>RB</x:v>
      </x:c>
      <x:c r="B101" s="26" t="n">
        <x:v>97</x:v>
      </x:c>
      <x:c r="C101" s="26" t="str">
        <x:v>DJ Giddens</x:v>
      </x:c>
      <x:c r="D101" s="26" t="str">
        <x:v>IND</x:v>
      </x:c>
      <x:c r="E101" s="28" t="n">
        <x:v>23.4</x:v>
      </x:c>
      <x:c r="F101" s="28" t="str">
        <x:v>RB|97</x:v>
      </x:c>
      <x:c r="G101" s="28" t="n">
        <x:f>XLOOKUP(A101,'Assumptions'!$A$12:$A$15,'Assumptions'!$C$12:$C$15)</x:f>
        <x:v>124.5</x:v>
      </x:c>
      <x:c r="H101" s="28" t="n">
        <x:f>E101-G101</x:f>
        <x:v>-101.1</x:v>
      </x:c>
      <x:c r="I101" s="29" t="n">
        <x:v>0</x:v>
      </x:c>
      <x:c r="J101" s="28" t="n">
        <x:f>H101+I101</x:f>
        <x:v>-101.1</x:v>
      </x:c>
      <x:c r="K101" s="26" t="str">
        <x:v>Projection-only v1.0</x:v>
      </x:c>
      <x:c r="L101" s="26" t="n">
        <x:f>RANK.EQ(J101,$J$5:$J$619,0)</x:f>
        <x:v>330</x:v>
      </x:c>
      <x:c r="M101" s="26" t="str">
        <x:f>IF(I101=0,"PROJECTION ONLY","EDITORIAL ADJUSTMENT")</x:f>
        <x:v>PROJECTION ONLY</x:v>
      </x:c>
    </x:row>
    <x:row r="102">
      <x:c r="A102" s="26" t="str">
        <x:v>RB</x:v>
      </x:c>
      <x:c r="B102" s="26" t="n">
        <x:v>98</x:v>
      </x:c>
      <x:c r="C102" s="26" t="str">
        <x:v>Jam Miller</x:v>
      </x:c>
      <x:c r="D102" s="26" t="str">
        <x:v>NE</x:v>
      </x:c>
      <x:c r="E102" s="28" t="n">
        <x:v>24.3</x:v>
      </x:c>
      <x:c r="F102" s="28" t="str">
        <x:v>RB|98</x:v>
      </x:c>
      <x:c r="G102" s="28" t="n">
        <x:f>XLOOKUP(A102,'Assumptions'!$A$12:$A$15,'Assumptions'!$C$12:$C$15)</x:f>
        <x:v>124.5</x:v>
      </x:c>
      <x:c r="H102" s="28" t="n">
        <x:f>E102-G102</x:f>
        <x:v>-100.2</x:v>
      </x:c>
      <x:c r="I102" s="29" t="n">
        <x:v>0</x:v>
      </x:c>
      <x:c r="J102" s="28" t="n">
        <x:f>H102+I102</x:f>
        <x:v>-100.2</x:v>
      </x:c>
      <x:c r="K102" s="26" t="str">
        <x:v>Projection-only v1.0</x:v>
      </x:c>
      <x:c r="L102" s="26" t="n">
        <x:f>RANK.EQ(J102,$J$5:$J$619,0)</x:f>
        <x:v>322</x:v>
      </x:c>
      <x:c r="M102" s="26" t="str">
        <x:f>IF(I102=0,"PROJECTION ONLY","EDITORIAL ADJUSTMENT")</x:f>
        <x:v>PROJECTION ONLY</x:v>
      </x:c>
    </x:row>
    <x:row r="103">
      <x:c r="A103" s="26" t="str">
        <x:v>RB</x:v>
      </x:c>
      <x:c r="B103" s="26" t="n">
        <x:v>99</x:v>
      </x:c>
      <x:c r="C103" s="26" t="str">
        <x:v>Emari Demercado</x:v>
      </x:c>
      <x:c r="D103" s="26" t="str">
        <x:v>KC</x:v>
      </x:c>
      <x:c r="E103" s="28" t="n">
        <x:v>23.1</x:v>
      </x:c>
      <x:c r="F103" s="28" t="str">
        <x:v>RB|99</x:v>
      </x:c>
      <x:c r="G103" s="28" t="n">
        <x:f>XLOOKUP(A103,'Assumptions'!$A$12:$A$15,'Assumptions'!$C$12:$C$15)</x:f>
        <x:v>124.5</x:v>
      </x:c>
      <x:c r="H103" s="28" t="n">
        <x:f>E103-G103</x:f>
        <x:v>-101.4</x:v>
      </x:c>
      <x:c r="I103" s="29" t="n">
        <x:v>0</x:v>
      </x:c>
      <x:c r="J103" s="28" t="n">
        <x:f>H103+I103</x:f>
        <x:v>-101.4</x:v>
      </x:c>
      <x:c r="K103" s="26" t="str">
        <x:v>Projection-only v1.0</x:v>
      </x:c>
      <x:c r="L103" s="26" t="n">
        <x:f>RANK.EQ(J103,$J$5:$J$619,0)</x:f>
        <x:v>333</x:v>
      </x:c>
      <x:c r="M103" s="26" t="str">
        <x:f>IF(I103=0,"PROJECTION ONLY","EDITORIAL ADJUSTMENT")</x:f>
        <x:v>PROJECTION ONLY</x:v>
      </x:c>
    </x:row>
    <x:row r="104">
      <x:c r="A104" s="26" t="str">
        <x:v>RB</x:v>
      </x:c>
      <x:c r="B104" s="26" t="n">
        <x:v>100</x:v>
      </x:c>
      <x:c r="C104" s="26" t="str">
        <x:v>Elijah Mitchell</x:v>
      </x:c>
      <x:c r="D104" s="26" t="str">
        <x:v>PHI</x:v>
      </x:c>
      <x:c r="E104" s="28" t="n">
        <x:v>24</x:v>
      </x:c>
      <x:c r="F104" s="28" t="str">
        <x:v>RB|100</x:v>
      </x:c>
      <x:c r="G104" s="28" t="n">
        <x:f>XLOOKUP(A104,'Assumptions'!$A$12:$A$15,'Assumptions'!$C$12:$C$15)</x:f>
        <x:v>124.5</x:v>
      </x:c>
      <x:c r="H104" s="28" t="n">
        <x:f>E104-G104</x:f>
        <x:v>-100.5</x:v>
      </x:c>
      <x:c r="I104" s="29" t="n">
        <x:v>0</x:v>
      </x:c>
      <x:c r="J104" s="28" t="n">
        <x:f>H104+I104</x:f>
        <x:v>-100.5</x:v>
      </x:c>
      <x:c r="K104" s="26" t="str">
        <x:v>Projection-only v1.0</x:v>
      </x:c>
      <x:c r="L104" s="26" t="n">
        <x:f>RANK.EQ(J104,$J$5:$J$619,0)</x:f>
        <x:v>324</x:v>
      </x:c>
      <x:c r="M104" s="26" t="str">
        <x:f>IF(I104=0,"PROJECTION ONLY","EDITORIAL ADJUSTMENT")</x:f>
        <x:v>PROJECTION ONLY</x:v>
      </x:c>
    </x:row>
    <x:row r="105">
      <x:c r="A105" s="26" t="str">
        <x:v>RB</x:v>
      </x:c>
      <x:c r="B105" s="26" t="n">
        <x:v>101</x:v>
      </x:c>
      <x:c r="C105" s="26" t="str">
        <x:v>Adam Randall</x:v>
      </x:c>
      <x:c r="D105" s="26" t="str">
        <x:v>BAL</x:v>
      </x:c>
      <x:c r="E105" s="28" t="n">
        <x:v>21.8</x:v>
      </x:c>
      <x:c r="F105" s="28" t="str">
        <x:v>RB|101</x:v>
      </x:c>
      <x:c r="G105" s="28" t="n">
        <x:f>XLOOKUP(A105,'Assumptions'!$A$12:$A$15,'Assumptions'!$C$12:$C$15)</x:f>
        <x:v>124.5</x:v>
      </x:c>
      <x:c r="H105" s="28" t="n">
        <x:f>E105-G105</x:f>
        <x:v>-102.7</x:v>
      </x:c>
      <x:c r="I105" s="29" t="n">
        <x:v>0</x:v>
      </x:c>
      <x:c r="J105" s="28" t="n">
        <x:f>H105+I105</x:f>
        <x:v>-102.7</x:v>
      </x:c>
      <x:c r="K105" s="26" t="str">
        <x:v>Projection-only v1.0</x:v>
      </x:c>
      <x:c r="L105" s="26" t="n">
        <x:f>RANK.EQ(J105,$J$5:$J$619,0)</x:f>
        <x:v>340</x:v>
      </x:c>
      <x:c r="M105" s="26" t="str">
        <x:f>IF(I105=0,"PROJECTION ONLY","EDITORIAL ADJUSTMENT")</x:f>
        <x:v>PROJECTION ONLY</x:v>
      </x:c>
    </x:row>
    <x:row r="106">
      <x:c r="A106" s="26" t="str">
        <x:v>RB</x:v>
      </x:c>
      <x:c r="B106" s="26" t="n">
        <x:v>102</x:v>
      </x:c>
      <x:c r="C106" s="26" t="str">
        <x:v>Jaleel McLaughlin</x:v>
      </x:c>
      <x:c r="D106" s="26" t="str">
        <x:v>DEN</x:v>
      </x:c>
      <x:c r="E106" s="28" t="n">
        <x:v>19.4</x:v>
      </x:c>
      <x:c r="F106" s="28" t="str">
        <x:v>RB|102</x:v>
      </x:c>
      <x:c r="G106" s="28" t="n">
        <x:f>XLOOKUP(A106,'Assumptions'!$A$12:$A$15,'Assumptions'!$C$12:$C$15)</x:f>
        <x:v>124.5</x:v>
      </x:c>
      <x:c r="H106" s="28" t="n">
        <x:f>E106-G106</x:f>
        <x:v>-105.1</x:v>
      </x:c>
      <x:c r="I106" s="29" t="n">
        <x:v>0</x:v>
      </x:c>
      <x:c r="J106" s="28" t="n">
        <x:f>H106+I106</x:f>
        <x:v>-105.1</x:v>
      </x:c>
      <x:c r="K106" s="26" t="str">
        <x:v>Projection-only v1.0</x:v>
      </x:c>
      <x:c r="L106" s="26" t="n">
        <x:f>RANK.EQ(J106,$J$5:$J$619,0)</x:f>
        <x:v>362</x:v>
      </x:c>
      <x:c r="M106" s="26" t="str">
        <x:f>IF(I106=0,"PROJECTION ONLY","EDITORIAL ADJUSTMENT")</x:f>
        <x:v>PROJECTION ONLY</x:v>
      </x:c>
    </x:row>
    <x:row r="107">
      <x:c r="A107" s="26" t="str">
        <x:v>RB</x:v>
      </x:c>
      <x:c r="B107" s="26" t="n">
        <x:v>103</x:v>
      </x:c>
      <x:c r="C107" s="26" t="str">
        <x:v>Jeremy McNichols</x:v>
      </x:c>
      <x:c r="D107" s="26" t="str">
        <x:v>WAS</x:v>
      </x:c>
      <x:c r="E107" s="28" t="n">
        <x:v>21.2</x:v>
      </x:c>
      <x:c r="F107" s="28" t="str">
        <x:v>RB|103</x:v>
      </x:c>
      <x:c r="G107" s="28" t="n">
        <x:f>XLOOKUP(A107,'Assumptions'!$A$12:$A$15,'Assumptions'!$C$12:$C$15)</x:f>
        <x:v>124.5</x:v>
      </x:c>
      <x:c r="H107" s="28" t="n">
        <x:f>E107-G107</x:f>
        <x:v>-103.3</x:v>
      </x:c>
      <x:c r="I107" s="29" t="n">
        <x:v>0</x:v>
      </x:c>
      <x:c r="J107" s="28" t="n">
        <x:f>H107+I107</x:f>
        <x:v>-103.3</x:v>
      </x:c>
      <x:c r="K107" s="26" t="str">
        <x:v>Projection-only v1.0</x:v>
      </x:c>
      <x:c r="L107" s="26" t="n">
        <x:f>RANK.EQ(J107,$J$5:$J$619,0)</x:f>
        <x:v>343</x:v>
      </x:c>
      <x:c r="M107" s="26" t="str">
        <x:f>IF(I107=0,"PROJECTION ONLY","EDITORIAL ADJUSTMENT")</x:f>
        <x:v>PROJECTION ONLY</x:v>
      </x:c>
    </x:row>
    <x:row r="108">
      <x:c r="A108" s="26" t="str">
        <x:v>RB</x:v>
      </x:c>
      <x:c r="B108" s="26" t="n">
        <x:v>104</x:v>
      </x:c>
      <x:c r="C108" s="26" t="str">
        <x:v>Jerome Ford</x:v>
      </x:c>
      <x:c r="D108" s="26" t="str">
        <x:v>WAS</x:v>
      </x:c>
      <x:c r="E108" s="28" t="n">
        <x:v>21.8</x:v>
      </x:c>
      <x:c r="F108" s="28" t="str">
        <x:v>RB|104</x:v>
      </x:c>
      <x:c r="G108" s="28" t="n">
        <x:f>XLOOKUP(A108,'Assumptions'!$A$12:$A$15,'Assumptions'!$C$12:$C$15)</x:f>
        <x:v>124.5</x:v>
      </x:c>
      <x:c r="H108" s="28" t="n">
        <x:f>E108-G108</x:f>
        <x:v>-102.7</x:v>
      </x:c>
      <x:c r="I108" s="29" t="n">
        <x:v>0</x:v>
      </x:c>
      <x:c r="J108" s="28" t="n">
        <x:f>H108+I108</x:f>
        <x:v>-102.7</x:v>
      </x:c>
      <x:c r="K108" s="26" t="str">
        <x:v>Projection-only v1.0</x:v>
      </x:c>
      <x:c r="L108" s="26" t="n">
        <x:f>RANK.EQ(J108,$J$5:$J$619,0)</x:f>
        <x:v>340</x:v>
      </x:c>
      <x:c r="M108" s="26" t="str">
        <x:f>IF(I108=0,"PROJECTION ONLY","EDITORIAL ADJUSTMENT")</x:f>
        <x:v>PROJECTION ONLY</x:v>
      </x:c>
    </x:row>
    <x:row r="109">
      <x:c r="A109" s="26" t="str">
        <x:v>RB</x:v>
      </x:c>
      <x:c r="B109" s="26" t="n">
        <x:v>105</x:v>
      </x:c>
      <x:c r="C109" s="26" t="str">
        <x:v>Brittain Brown</x:v>
      </x:c>
      <x:c r="D109" s="26" t="str">
        <x:v>CHI</x:v>
      </x:c>
      <x:c r="E109" s="28" t="n">
        <x:v>23.5</x:v>
      </x:c>
      <x:c r="F109" s="28" t="str">
        <x:v>RB|105</x:v>
      </x:c>
      <x:c r="G109" s="28" t="n">
        <x:f>XLOOKUP(A109,'Assumptions'!$A$12:$A$15,'Assumptions'!$C$12:$C$15)</x:f>
        <x:v>124.5</x:v>
      </x:c>
      <x:c r="H109" s="28" t="n">
        <x:f>E109-G109</x:f>
        <x:v>-101</x:v>
      </x:c>
      <x:c r="I109" s="29" t="n">
        <x:v>0</x:v>
      </x:c>
      <x:c r="J109" s="28" t="n">
        <x:f>H109+I109</x:f>
        <x:v>-101</x:v>
      </x:c>
      <x:c r="K109" s="26" t="str">
        <x:v>Projection-only v1.0</x:v>
      </x:c>
      <x:c r="L109" s="26" t="n">
        <x:f>RANK.EQ(J109,$J$5:$J$619,0)</x:f>
        <x:v>329</x:v>
      </x:c>
      <x:c r="M109" s="26" t="str">
        <x:f>IF(I109=0,"PROJECTION ONLY","EDITORIAL ADJUSTMENT")</x:f>
        <x:v>PROJECTION ONLY</x:v>
      </x:c>
    </x:row>
    <x:row r="110">
      <x:c r="A110" s="26" t="str">
        <x:v>RB</x:v>
      </x:c>
      <x:c r="B110" s="26" t="n">
        <x:v>106</x:v>
      </x:c>
      <x:c r="C110" s="26" t="str">
        <x:v>Jarquez Hunter</x:v>
      </x:c>
      <x:c r="D110" s="26" t="str">
        <x:v>LAR</x:v>
      </x:c>
      <x:c r="E110" s="28" t="n">
        <x:v>22.5</x:v>
      </x:c>
      <x:c r="F110" s="28" t="str">
        <x:v>RB|106</x:v>
      </x:c>
      <x:c r="G110" s="28" t="n">
        <x:f>XLOOKUP(A110,'Assumptions'!$A$12:$A$15,'Assumptions'!$C$12:$C$15)</x:f>
        <x:v>124.5</x:v>
      </x:c>
      <x:c r="H110" s="28" t="n">
        <x:f>E110-G110</x:f>
        <x:v>-102</x:v>
      </x:c>
      <x:c r="I110" s="29" t="n">
        <x:v>0</x:v>
      </x:c>
      <x:c r="J110" s="28" t="n">
        <x:f>H110+I110</x:f>
        <x:v>-102</x:v>
      </x:c>
      <x:c r="K110" s="26" t="str">
        <x:v>Projection-only v1.0</x:v>
      </x:c>
      <x:c r="L110" s="26" t="n">
        <x:f>RANK.EQ(J110,$J$5:$J$619,0)</x:f>
        <x:v>334</x:v>
      </x:c>
      <x:c r="M110" s="26" t="str">
        <x:f>IF(I110=0,"PROJECTION ONLY","EDITORIAL ADJUSTMENT")</x:f>
        <x:v>PROJECTION ONLY</x:v>
      </x:c>
    </x:row>
    <x:row r="111">
      <x:c r="A111" s="26" t="str">
        <x:v>RB</x:v>
      </x:c>
      <x:c r="B111" s="26" t="n">
        <x:v>107</x:v>
      </x:c>
      <x:c r="C111" s="26" t="str">
        <x:v>Salvon Ahmed</x:v>
      </x:c>
      <x:c r="D111" s="26" t="str">
        <x:v>CHI</x:v>
      </x:c>
      <x:c r="E111" s="28" t="n">
        <x:v>22.4</x:v>
      </x:c>
      <x:c r="F111" s="28" t="str">
        <x:v>RB|107</x:v>
      </x:c>
      <x:c r="G111" s="28" t="n">
        <x:f>XLOOKUP(A111,'Assumptions'!$A$12:$A$15,'Assumptions'!$C$12:$C$15)</x:f>
        <x:v>124.5</x:v>
      </x:c>
      <x:c r="H111" s="28" t="n">
        <x:f>E111-G111</x:f>
        <x:v>-102.1</x:v>
      </x:c>
      <x:c r="I111" s="29" t="n">
        <x:v>0</x:v>
      </x:c>
      <x:c r="J111" s="28" t="n">
        <x:f>H111+I111</x:f>
        <x:v>-102.1</x:v>
      </x:c>
      <x:c r="K111" s="26" t="str">
        <x:v>Projection-only v1.0</x:v>
      </x:c>
      <x:c r="L111" s="26" t="n">
        <x:f>RANK.EQ(J111,$J$5:$J$619,0)</x:f>
        <x:v>335</x:v>
      </x:c>
      <x:c r="M111" s="26" t="str">
        <x:f>IF(I111=0,"PROJECTION ONLY","EDITORIAL ADJUSTMENT")</x:f>
        <x:v>PROJECTION ONLY</x:v>
      </x:c>
    </x:row>
    <x:row r="112">
      <x:c r="A112" s="26" t="str">
        <x:v>RB</x:v>
      </x:c>
      <x:c r="B112" s="26" t="n">
        <x:v>108</x:v>
      </x:c>
      <x:c r="C112" s="26" t="str">
        <x:v>Israel Abanikanda</x:v>
      </x:c>
      <x:c r="D112" s="26" t="str">
        <x:v>DAL</x:v>
      </x:c>
      <x:c r="E112" s="28" t="n">
        <x:v>22.3</x:v>
      </x:c>
      <x:c r="F112" s="28" t="str">
        <x:v>RB|108</x:v>
      </x:c>
      <x:c r="G112" s="28" t="n">
        <x:f>XLOOKUP(A112,'Assumptions'!$A$12:$A$15,'Assumptions'!$C$12:$C$15)</x:f>
        <x:v>124.5</x:v>
      </x:c>
      <x:c r="H112" s="28" t="n">
        <x:f>E112-G112</x:f>
        <x:v>-102.2</x:v>
      </x:c>
      <x:c r="I112" s="29" t="n">
        <x:v>0</x:v>
      </x:c>
      <x:c r="J112" s="28" t="n">
        <x:f>H112+I112</x:f>
        <x:v>-102.2</x:v>
      </x:c>
      <x:c r="K112" s="26" t="str">
        <x:v>Projection-only v1.0</x:v>
      </x:c>
      <x:c r="L112" s="26" t="n">
        <x:f>RANK.EQ(J112,$J$5:$J$619,0)</x:f>
        <x:v>337</x:v>
      </x:c>
      <x:c r="M112" s="26" t="str">
        <x:f>IF(I112=0,"PROJECTION ONLY","EDITORIAL ADJUSTMENT")</x:f>
        <x:v>PROJECTION ONLY</x:v>
      </x:c>
    </x:row>
    <x:row r="113">
      <x:c r="A113" s="26" t="str">
        <x:v>RB</x:v>
      </x:c>
      <x:c r="B113" s="26" t="n">
        <x:v>109</x:v>
      </x:c>
      <x:c r="C113" s="26" t="str">
        <x:v>Hunter Luepke</x:v>
      </x:c>
      <x:c r="D113" s="26" t="str">
        <x:v>DAL</x:v>
      </x:c>
      <x:c r="E113" s="28" t="n">
        <x:v>18.8</x:v>
      </x:c>
      <x:c r="F113" s="28" t="str">
        <x:v>RB|109</x:v>
      </x:c>
      <x:c r="G113" s="28" t="n">
        <x:f>XLOOKUP(A113,'Assumptions'!$A$12:$A$15,'Assumptions'!$C$12:$C$15)</x:f>
        <x:v>124.5</x:v>
      </x:c>
      <x:c r="H113" s="28" t="n">
        <x:f>E113-G113</x:f>
        <x:v>-105.7</x:v>
      </x:c>
      <x:c r="I113" s="29" t="n">
        <x:v>0</x:v>
      </x:c>
      <x:c r="J113" s="28" t="n">
        <x:f>H113+I113</x:f>
        <x:v>-105.7</x:v>
      </x:c>
      <x:c r="K113" s="26" t="str">
        <x:v>Projection-only v1.0</x:v>
      </x:c>
      <x:c r="L113" s="26" t="n">
        <x:f>RANK.EQ(J113,$J$5:$J$619,0)</x:f>
        <x:v>371</x:v>
      </x:c>
      <x:c r="M113" s="26" t="str">
        <x:f>IF(I113=0,"PROJECTION ONLY","EDITORIAL ADJUSTMENT")</x:f>
        <x:v>PROJECTION ONLY</x:v>
      </x:c>
    </x:row>
    <x:row r="114">
      <x:c r="A114" s="26" t="str">
        <x:v>RB</x:v>
      </x:c>
      <x:c r="B114" s="26" t="n">
        <x:v>110</x:v>
      </x:c>
      <x:c r="C114" s="26" t="str">
        <x:v>Trevor Etienne</x:v>
      </x:c>
      <x:c r="D114" s="26" t="str">
        <x:v>CAR</x:v>
      </x:c>
      <x:c r="E114" s="28" t="n">
        <x:v>19.5</x:v>
      </x:c>
      <x:c r="F114" s="28" t="str">
        <x:v>RB|110</x:v>
      </x:c>
      <x:c r="G114" s="28" t="n">
        <x:f>XLOOKUP(A114,'Assumptions'!$A$12:$A$15,'Assumptions'!$C$12:$C$15)</x:f>
        <x:v>124.5</x:v>
      </x:c>
      <x:c r="H114" s="28" t="n">
        <x:f>E114-G114</x:f>
        <x:v>-105</x:v>
      </x:c>
      <x:c r="I114" s="29" t="n">
        <x:v>0</x:v>
      </x:c>
      <x:c r="J114" s="28" t="n">
        <x:f>H114+I114</x:f>
        <x:v>-105</x:v>
      </x:c>
      <x:c r="K114" s="26" t="str">
        <x:v>Projection-only v1.0</x:v>
      </x:c>
      <x:c r="L114" s="26" t="n">
        <x:f>RANK.EQ(J114,$J$5:$J$619,0)</x:f>
        <x:v>361</x:v>
      </x:c>
      <x:c r="M114" s="26" t="str">
        <x:f>IF(I114=0,"PROJECTION ONLY","EDITORIAL ADJUSTMENT")</x:f>
        <x:v>PROJECTION ONLY</x:v>
      </x:c>
    </x:row>
    <x:row r="115">
      <x:c r="A115" s="26" t="str">
        <x:v>RB</x:v>
      </x:c>
      <x:c r="B115" s="26" t="n">
        <x:v>111</x:v>
      </x:c>
      <x:c r="C115" s="26" t="str">
        <x:v>Dameon Pierce</x:v>
      </x:c>
      <x:c r="D115" s="26" t="str">
        <x:v>PHI</x:v>
      </x:c>
      <x:c r="E115" s="28" t="n">
        <x:v>22.1</x:v>
      </x:c>
      <x:c r="F115" s="28" t="str">
        <x:v>RB|111</x:v>
      </x:c>
      <x:c r="G115" s="28" t="n">
        <x:f>XLOOKUP(A115,'Assumptions'!$A$12:$A$15,'Assumptions'!$C$12:$C$15)</x:f>
        <x:v>124.5</x:v>
      </x:c>
      <x:c r="H115" s="28" t="n">
        <x:f>E115-G115</x:f>
        <x:v>-102.4</x:v>
      </x:c>
      <x:c r="I115" s="29" t="n">
        <x:v>0</x:v>
      </x:c>
      <x:c r="J115" s="28" t="n">
        <x:f>H115+I115</x:f>
        <x:v>-102.4</x:v>
      </x:c>
      <x:c r="K115" s="26" t="str">
        <x:v>Projection-only v1.0</x:v>
      </x:c>
      <x:c r="L115" s="26" t="n">
        <x:f>RANK.EQ(J115,$J$5:$J$619,0)</x:f>
        <x:v>338</x:v>
      </x:c>
      <x:c r="M115" s="26" t="str">
        <x:f>IF(I115=0,"PROJECTION ONLY","EDITORIAL ADJUSTMENT")</x:f>
        <x:v>PROJECTION ONLY</x:v>
      </x:c>
    </x:row>
    <x:row r="116">
      <x:c r="A116" s="26" t="str">
        <x:v>RB</x:v>
      </x:c>
      <x:c r="B116" s="26" t="n">
        <x:v>112</x:v>
      </x:c>
      <x:c r="C116" s="26" t="str">
        <x:v>Isaac Guerendo</x:v>
      </x:c>
      <x:c r="D116" s="26" t="str">
        <x:v>SF</x:v>
      </x:c>
      <x:c r="E116" s="28" t="n">
        <x:v>21.1</x:v>
      </x:c>
      <x:c r="F116" s="28" t="str">
        <x:v>RB|112</x:v>
      </x:c>
      <x:c r="G116" s="28" t="n">
        <x:f>XLOOKUP(A116,'Assumptions'!$A$12:$A$15,'Assumptions'!$C$12:$C$15)</x:f>
        <x:v>124.5</x:v>
      </x:c>
      <x:c r="H116" s="28" t="n">
        <x:f>E116-G116</x:f>
        <x:v>-103.4</x:v>
      </x:c>
      <x:c r="I116" s="29" t="n">
        <x:v>0</x:v>
      </x:c>
      <x:c r="J116" s="28" t="n">
        <x:f>H116+I116</x:f>
        <x:v>-103.4</x:v>
      </x:c>
      <x:c r="K116" s="26" t="str">
        <x:v>Projection-only v1.0</x:v>
      </x:c>
      <x:c r="L116" s="26" t="n">
        <x:f>RANK.EQ(J116,$J$5:$J$619,0)</x:f>
        <x:v>345</x:v>
      </x:c>
      <x:c r="M116" s="26" t="str">
        <x:f>IF(I116=0,"PROJECTION ONLY","EDITORIAL ADJUSTMENT")</x:f>
        <x:v>PROJECTION ONLY</x:v>
      </x:c>
    </x:row>
    <x:row r="117">
      <x:c r="A117" s="26" t="str">
        <x:v>RB</x:v>
      </x:c>
      <x:c r="B117" s="26" t="n">
        <x:v>113</x:v>
      </x:c>
      <x:c r="C117" s="26" t="str">
        <x:v>Carlos Washington Jr.</x:v>
      </x:c>
      <x:c r="D117" s="26" t="str">
        <x:v>MIA</x:v>
      </x:c>
      <x:c r="E117" s="28" t="n">
        <x:v>21.1</x:v>
      </x:c>
      <x:c r="F117" s="28" t="str">
        <x:v>RB|113</x:v>
      </x:c>
      <x:c r="G117" s="28" t="n">
        <x:f>XLOOKUP(A117,'Assumptions'!$A$12:$A$15,'Assumptions'!$C$12:$C$15)</x:f>
        <x:v>124.5</x:v>
      </x:c>
      <x:c r="H117" s="28" t="n">
        <x:f>E117-G117</x:f>
        <x:v>-103.4</x:v>
      </x:c>
      <x:c r="I117" s="29" t="n">
        <x:v>0</x:v>
      </x:c>
      <x:c r="J117" s="28" t="n">
        <x:f>H117+I117</x:f>
        <x:v>-103.4</x:v>
      </x:c>
      <x:c r="K117" s="26" t="str">
        <x:v>Projection-only v1.0</x:v>
      </x:c>
      <x:c r="L117" s="26" t="n">
        <x:f>RANK.EQ(J117,$J$5:$J$619,0)</x:f>
        <x:v>345</x:v>
      </x:c>
      <x:c r="M117" s="26" t="str">
        <x:f>IF(I117=0,"PROJECTION ONLY","EDITORIAL ADJUSTMENT")</x:f>
        <x:v>PROJECTION ONLY</x:v>
      </x:c>
    </x:row>
    <x:row r="118">
      <x:c r="A118" s="26" t="str">
        <x:v>RB</x:v>
      </x:c>
      <x:c r="B118" s="26" t="n">
        <x:v>114</x:v>
      </x:c>
      <x:c r="C118" s="26" t="str">
        <x:v>Donovan Edwards</x:v>
      </x:c>
      <x:c r="D118" s="26" t="str">
        <x:v>MIA</x:v>
      </x:c>
      <x:c r="E118" s="28" t="n">
        <x:v>21.1</x:v>
      </x:c>
      <x:c r="F118" s="28" t="str">
        <x:v>RB|114</x:v>
      </x:c>
      <x:c r="G118" s="28" t="n">
        <x:f>XLOOKUP(A118,'Assumptions'!$A$12:$A$15,'Assumptions'!$C$12:$C$15)</x:f>
        <x:v>124.5</x:v>
      </x:c>
      <x:c r="H118" s="28" t="n">
        <x:f>E118-G118</x:f>
        <x:v>-103.4</x:v>
      </x:c>
      <x:c r="I118" s="29" t="n">
        <x:v>0</x:v>
      </x:c>
      <x:c r="J118" s="28" t="n">
        <x:f>H118+I118</x:f>
        <x:v>-103.4</x:v>
      </x:c>
      <x:c r="K118" s="26" t="str">
        <x:v>Projection-only v1.0</x:v>
      </x:c>
      <x:c r="L118" s="26" t="n">
        <x:f>RANK.EQ(J118,$J$5:$J$619,0)</x:f>
        <x:v>345</x:v>
      </x:c>
      <x:c r="M118" s="26" t="str">
        <x:f>IF(I118=0,"PROJECTION ONLY","EDITORIAL ADJUSTMENT")</x:f>
        <x:v>PROJECTION ONLY</x:v>
      </x:c>
    </x:row>
    <x:row r="119">
      <x:c r="A119" s="26" t="str">
        <x:v>RB</x:v>
      </x:c>
      <x:c r="B119" s="26" t="n">
        <x:v>115</x:v>
      </x:c>
      <x:c r="C119" s="26" t="str">
        <x:v>Raheim Sanders</x:v>
      </x:c>
      <x:c r="D119" s="26" t="str">
        <x:v>CLE</x:v>
      </x:c>
      <x:c r="E119" s="28" t="n">
        <x:v>18.2</x:v>
      </x:c>
      <x:c r="F119" s="28" t="str">
        <x:v>RB|115</x:v>
      </x:c>
      <x:c r="G119" s="28" t="n">
        <x:f>XLOOKUP(A119,'Assumptions'!$A$12:$A$15,'Assumptions'!$C$12:$C$15)</x:f>
        <x:v>124.5</x:v>
      </x:c>
      <x:c r="H119" s="28" t="n">
        <x:f>E119-G119</x:f>
        <x:v>-106.3</x:v>
      </x:c>
      <x:c r="I119" s="29" t="n">
        <x:v>0</x:v>
      </x:c>
      <x:c r="J119" s="28" t="n">
        <x:f>H119+I119</x:f>
        <x:v>-106.3</x:v>
      </x:c>
      <x:c r="K119" s="26" t="str">
        <x:v>Projection-only v1.0</x:v>
      </x:c>
      <x:c r="L119" s="26" t="n">
        <x:f>RANK.EQ(J119,$J$5:$J$619,0)</x:f>
        <x:v>376</x:v>
      </x:c>
      <x:c r="M119" s="26" t="str">
        <x:f>IF(I119=0,"PROJECTION ONLY","EDITORIAL ADJUSTMENT")</x:f>
        <x:v>PROJECTION ONLY</x:v>
      </x:c>
    </x:row>
    <x:row r="120">
      <x:c r="A120" s="26" t="str">
        <x:v>RB</x:v>
      </x:c>
      <x:c r="B120" s="26" t="n">
        <x:v>116</x:v>
      </x:c>
      <x:c r="C120" s="26" t="str">
        <x:v>Audric Estimé</x:v>
      </x:c>
      <x:c r="D120" s="26" t="str">
        <x:v>NO</x:v>
      </x:c>
      <x:c r="E120" s="28" t="n">
        <x:v>20.2</x:v>
      </x:c>
      <x:c r="F120" s="28" t="str">
        <x:v>RB|116</x:v>
      </x:c>
      <x:c r="G120" s="28" t="n">
        <x:f>XLOOKUP(A120,'Assumptions'!$A$12:$A$15,'Assumptions'!$C$12:$C$15)</x:f>
        <x:v>124.5</x:v>
      </x:c>
      <x:c r="H120" s="28" t="n">
        <x:f>E120-G120</x:f>
        <x:v>-104.3</x:v>
      </x:c>
      <x:c r="I120" s="29" t="n">
        <x:v>0</x:v>
      </x:c>
      <x:c r="J120" s="28" t="n">
        <x:f>H120+I120</x:f>
        <x:v>-104.3</x:v>
      </x:c>
      <x:c r="K120" s="26" t="str">
        <x:v>Projection-only v1.0</x:v>
      </x:c>
      <x:c r="L120" s="26" t="n">
        <x:f>RANK.EQ(J120,$J$5:$J$619,0)</x:f>
        <x:v>355</x:v>
      </x:c>
      <x:c r="M120" s="26" t="str">
        <x:f>IF(I120=0,"PROJECTION ONLY","EDITORIAL ADJUSTMENT")</x:f>
        <x:v>PROJECTION ONLY</x:v>
      </x:c>
    </x:row>
    <x:row r="121">
      <x:c r="A121" s="26" t="str">
        <x:v>RB</x:v>
      </x:c>
      <x:c r="B121" s="26" t="n">
        <x:v>117</x:v>
      </x:c>
      <x:c r="C121" s="26" t="str">
        <x:v>Ronnie Rivers</x:v>
      </x:c>
      <x:c r="D121" s="26" t="str">
        <x:v>LAR</x:v>
      </x:c>
      <x:c r="E121" s="28" t="n">
        <x:v>19.2</x:v>
      </x:c>
      <x:c r="F121" s="28" t="str">
        <x:v>RB|117</x:v>
      </x:c>
      <x:c r="G121" s="28" t="n">
        <x:f>XLOOKUP(A121,'Assumptions'!$A$12:$A$15,'Assumptions'!$C$12:$C$15)</x:f>
        <x:v>124.5</x:v>
      </x:c>
      <x:c r="H121" s="28" t="n">
        <x:f>E121-G121</x:f>
        <x:v>-105.3</x:v>
      </x:c>
      <x:c r="I121" s="29" t="n">
        <x:v>0</x:v>
      </x:c>
      <x:c r="J121" s="28" t="n">
        <x:f>H121+I121</x:f>
        <x:v>-105.3</x:v>
      </x:c>
      <x:c r="K121" s="26" t="str">
        <x:v>Projection-only v1.0</x:v>
      </x:c>
      <x:c r="L121" s="26" t="n">
        <x:f>RANK.EQ(J121,$J$5:$J$619,0)</x:f>
        <x:v>365</x:v>
      </x:c>
      <x:c r="M121" s="26" t="str">
        <x:f>IF(I121=0,"PROJECTION ONLY","EDITORIAL ADJUSTMENT")</x:f>
        <x:v>PROJECTION ONLY</x:v>
      </x:c>
    </x:row>
    <x:row r="122">
      <x:c r="A122" s="26" t="str">
        <x:v>RB</x:v>
      </x:c>
      <x:c r="B122" s="26" t="n">
        <x:v>118</x:v>
      </x:c>
      <x:c r="C122" s="26" t="str">
        <x:v>Tyler Goodson</x:v>
      </x:c>
      <x:c r="D122" s="26" t="str">
        <x:v>ATL</x:v>
      </x:c>
      <x:c r="E122" s="28" t="n">
        <x:v>19.3</x:v>
      </x:c>
      <x:c r="F122" s="28" t="str">
        <x:v>RB|118</x:v>
      </x:c>
      <x:c r="G122" s="28" t="n">
        <x:f>XLOOKUP(A122,'Assumptions'!$A$12:$A$15,'Assumptions'!$C$12:$C$15)</x:f>
        <x:v>124.5</x:v>
      </x:c>
      <x:c r="H122" s="28" t="n">
        <x:f>E122-G122</x:f>
        <x:v>-105.2</x:v>
      </x:c>
      <x:c r="I122" s="29" t="n">
        <x:v>0</x:v>
      </x:c>
      <x:c r="J122" s="28" t="n">
        <x:f>H122+I122</x:f>
        <x:v>-105.2</x:v>
      </x:c>
      <x:c r="K122" s="26" t="str">
        <x:v>Projection-only v1.0</x:v>
      </x:c>
      <x:c r="L122" s="26" t="n">
        <x:f>RANK.EQ(J122,$J$5:$J$619,0)</x:f>
        <x:v>364</x:v>
      </x:c>
      <x:c r="M122" s="26" t="str">
        <x:f>IF(I122=0,"PROJECTION ONLY","EDITORIAL ADJUSTMENT")</x:f>
        <x:v>PROJECTION ONLY</x:v>
      </x:c>
    </x:row>
    <x:row r="123">
      <x:c r="A123" s="26" t="str">
        <x:v>RB</x:v>
      </x:c>
      <x:c r="B123" s="26" t="n">
        <x:v>119</x:v>
      </x:c>
      <x:c r="C123" s="26" t="str">
        <x:v>Connor Heyward</x:v>
      </x:c>
      <x:c r="D123" s="26" t="str">
        <x:v>LV</x:v>
      </x:c>
      <x:c r="E123" s="28" t="n">
        <x:v>16.3</x:v>
      </x:c>
      <x:c r="F123" s="28" t="str">
        <x:v>RB|119</x:v>
      </x:c>
      <x:c r="G123" s="28" t="n">
        <x:f>XLOOKUP(A123,'Assumptions'!$A$12:$A$15,'Assumptions'!$C$12:$C$15)</x:f>
        <x:v>124.5</x:v>
      </x:c>
      <x:c r="H123" s="28" t="n">
        <x:f>E123-G123</x:f>
        <x:v>-108.2</x:v>
      </x:c>
      <x:c r="I123" s="29" t="n">
        <x:v>0</x:v>
      </x:c>
      <x:c r="J123" s="28" t="n">
        <x:f>H123+I123</x:f>
        <x:v>-108.2</x:v>
      </x:c>
      <x:c r="K123" s="26" t="str">
        <x:v>Projection-only v1.0</x:v>
      </x:c>
      <x:c r="L123" s="26" t="n">
        <x:f>RANK.EQ(J123,$J$5:$J$619,0)</x:f>
        <x:v>392</x:v>
      </x:c>
      <x:c r="M123" s="26" t="str">
        <x:f>IF(I123=0,"PROJECTION ONLY","EDITORIAL ADJUSTMENT")</x:f>
        <x:v>PROJECTION ONLY</x:v>
      </x:c>
    </x:row>
    <x:row r="124">
      <x:c r="A124" s="26" t="str">
        <x:v>RB</x:v>
      </x:c>
      <x:c r="B124" s="26" t="n">
        <x:v>120</x:v>
      </x:c>
      <x:c r="C124" s="26" t="str">
        <x:v>Pierre Strong Jr.</x:v>
      </x:c>
      <x:c r="D124" s="26" t="str">
        <x:v>GB</x:v>
      </x:c>
      <x:c r="E124" s="28" t="n">
        <x:v>19.2</x:v>
      </x:c>
      <x:c r="F124" s="28" t="str">
        <x:v>RB|120</x:v>
      </x:c>
      <x:c r="G124" s="28" t="n">
        <x:f>XLOOKUP(A124,'Assumptions'!$A$12:$A$15,'Assumptions'!$C$12:$C$15)</x:f>
        <x:v>124.5</x:v>
      </x:c>
      <x:c r="H124" s="28" t="n">
        <x:f>E124-G124</x:f>
        <x:v>-105.3</x:v>
      </x:c>
      <x:c r="I124" s="29" t="n">
        <x:v>0</x:v>
      </x:c>
      <x:c r="J124" s="28" t="n">
        <x:f>H124+I124</x:f>
        <x:v>-105.3</x:v>
      </x:c>
      <x:c r="K124" s="26" t="str">
        <x:v>Projection-only v1.0</x:v>
      </x:c>
      <x:c r="L124" s="26" t="n">
        <x:f>RANK.EQ(J124,$J$5:$J$619,0)</x:f>
        <x:v>365</x:v>
      </x:c>
      <x:c r="M124" s="26" t="str">
        <x:f>IF(I124=0,"PROJECTION ONLY","EDITORIAL ADJUSTMENT")</x:f>
        <x:v>PROJECTION ONLY</x:v>
      </x:c>
    </x:row>
    <x:row r="125">
      <x:c r="A125" s="26" t="str">
        <x:v>RB</x:v>
      </x:c>
      <x:c r="B125" s="26" t="n">
        <x:v>121</x:v>
      </x:c>
      <x:c r="C125" s="26" t="str">
        <x:v>Will Shipley</x:v>
      </x:c>
      <x:c r="D125" s="26" t="str">
        <x:v>PHI</x:v>
      </x:c>
      <x:c r="E125" s="28" t="n">
        <x:v>16.5</x:v>
      </x:c>
      <x:c r="F125" s="28" t="str">
        <x:v>RB|121</x:v>
      </x:c>
      <x:c r="G125" s="28" t="n">
        <x:f>XLOOKUP(A125,'Assumptions'!$A$12:$A$15,'Assumptions'!$C$12:$C$15)</x:f>
        <x:v>124.5</x:v>
      </x:c>
      <x:c r="H125" s="28" t="n">
        <x:f>E125-G125</x:f>
        <x:v>-108</x:v>
      </x:c>
      <x:c r="I125" s="29" t="n">
        <x:v>0</x:v>
      </x:c>
      <x:c r="J125" s="28" t="n">
        <x:f>H125+I125</x:f>
        <x:v>-108</x:v>
      </x:c>
      <x:c r="K125" s="26" t="str">
        <x:v>Projection-only v1.0</x:v>
      </x:c>
      <x:c r="L125" s="26" t="n">
        <x:f>RANK.EQ(J125,$J$5:$J$619,0)</x:f>
        <x:v>389</x:v>
      </x:c>
      <x:c r="M125" s="26" t="str">
        <x:f>IF(I125=0,"PROJECTION ONLY","EDITORIAL ADJUSTMENT")</x:f>
        <x:v>PROJECTION ONLY</x:v>
      </x:c>
    </x:row>
    <x:row r="126">
      <x:c r="A126" s="26" t="str">
        <x:v>RB</x:v>
      </x:c>
      <x:c r="B126" s="26" t="n">
        <x:v>122</x:v>
      </x:c>
      <x:c r="C126" s="26" t="str">
        <x:v>Tyler Badie</x:v>
      </x:c>
      <x:c r="D126" s="26" t="str">
        <x:v>DEN</x:v>
      </x:c>
      <x:c r="E126" s="28" t="n">
        <x:v>13.1</x:v>
      </x:c>
      <x:c r="F126" s="28" t="str">
        <x:v>RB|122</x:v>
      </x:c>
      <x:c r="G126" s="28" t="n">
        <x:f>XLOOKUP(A126,'Assumptions'!$A$12:$A$15,'Assumptions'!$C$12:$C$15)</x:f>
        <x:v>124.5</x:v>
      </x:c>
      <x:c r="H126" s="28" t="n">
        <x:f>E126-G126</x:f>
        <x:v>-111.4</x:v>
      </x:c>
      <x:c r="I126" s="29" t="n">
        <x:v>0</x:v>
      </x:c>
      <x:c r="J126" s="28" t="n">
        <x:f>H126+I126</x:f>
        <x:v>-111.4</x:v>
      </x:c>
      <x:c r="K126" s="26" t="str">
        <x:v>Projection-only v1.0</x:v>
      </x:c>
      <x:c r="L126" s="26" t="n">
        <x:f>RANK.EQ(J126,$J$5:$J$619,0)</x:f>
        <x:v>455</x:v>
      </x:c>
      <x:c r="M126" s="26" t="str">
        <x:f>IF(I126=0,"PROJECTION ONLY","EDITORIAL ADJUSTMENT")</x:f>
        <x:v>PROJECTION ONLY</x:v>
      </x:c>
    </x:row>
    <x:row r="127">
      <x:c r="A127" s="26" t="str">
        <x:v>RB</x:v>
      </x:c>
      <x:c r="B127" s="26" t="n">
        <x:v>123</x:v>
      </x:c>
      <x:c r="C127" s="26" t="str">
        <x:v>Jaret Patterson</x:v>
      </x:c>
      <x:c r="D127" s="26" t="str">
        <x:v>LAC</x:v>
      </x:c>
      <x:c r="E127" s="28" t="n">
        <x:v>15.1</x:v>
      </x:c>
      <x:c r="F127" s="28" t="str">
        <x:v>RB|123</x:v>
      </x:c>
      <x:c r="G127" s="28" t="n">
        <x:f>XLOOKUP(A127,'Assumptions'!$A$12:$A$15,'Assumptions'!$C$12:$C$15)</x:f>
        <x:v>124.5</x:v>
      </x:c>
      <x:c r="H127" s="28" t="n">
        <x:f>E127-G127</x:f>
        <x:v>-109.4</x:v>
      </x:c>
      <x:c r="I127" s="29" t="n">
        <x:v>0</x:v>
      </x:c>
      <x:c r="J127" s="28" t="n">
        <x:f>H127+I127</x:f>
        <x:v>-109.4</x:v>
      </x:c>
      <x:c r="K127" s="26" t="str">
        <x:v>Projection-only v1.0</x:v>
      </x:c>
      <x:c r="L127" s="26" t="n">
        <x:f>RANK.EQ(J127,$J$5:$J$619,0)</x:f>
        <x:v>397</x:v>
      </x:c>
      <x:c r="M127" s="26" t="str">
        <x:f>IF(I127=0,"PROJECTION ONLY","EDITORIAL ADJUSTMENT")</x:f>
        <x:v>PROJECTION ONLY</x:v>
      </x:c>
    </x:row>
    <x:row r="128">
      <x:c r="A128" s="26" t="str">
        <x:v>RB</x:v>
      </x:c>
      <x:c r="B128" s="26" t="n">
        <x:v>124</x:v>
      </x:c>
      <x:c r="C128" s="26" t="str">
        <x:v>Michael Burton</x:v>
      </x:c>
      <x:c r="D128" s="26" t="str">
        <x:v>CLE</x:v>
      </x:c>
      <x:c r="E128" s="28" t="n">
        <x:v>13.3</x:v>
      </x:c>
      <x:c r="F128" s="28" t="str">
        <x:v>RB|124</x:v>
      </x:c>
      <x:c r="G128" s="28" t="n">
        <x:f>XLOOKUP(A128,'Assumptions'!$A$12:$A$15,'Assumptions'!$C$12:$C$15)</x:f>
        <x:v>124.5</x:v>
      </x:c>
      <x:c r="H128" s="28" t="n">
        <x:f>E128-G128</x:f>
        <x:v>-111.2</x:v>
      </x:c>
      <x:c r="I128" s="29" t="n">
        <x:v>0</x:v>
      </x:c>
      <x:c r="J128" s="28" t="n">
        <x:f>H128+I128</x:f>
        <x:v>-111.2</x:v>
      </x:c>
      <x:c r="K128" s="26" t="str">
        <x:v>Projection-only v1.0</x:v>
      </x:c>
      <x:c r="L128" s="26" t="n">
        <x:f>RANK.EQ(J128,$J$5:$J$619,0)</x:f>
        <x:v>454</x:v>
      </x:c>
      <x:c r="M128" s="26" t="str">
        <x:f>IF(I128=0,"PROJECTION ONLY","EDITORIAL ADJUSTMENT")</x:f>
        <x:v>PROJECTION ONLY</x:v>
      </x:c>
    </x:row>
    <x:row r="129">
      <x:c r="A129" s="26" t="str">
        <x:v>RB</x:v>
      </x:c>
      <x:c r="B129" s="26" t="n">
        <x:v>125</x:v>
      </x:c>
      <x:c r="C129" s="26" t="str">
        <x:v>Nathan Carter</x:v>
      </x:c>
      <x:c r="D129" s="26" t="str">
        <x:v>ATL</x:v>
      </x:c>
      <x:c r="E129" s="28" t="n">
        <x:v>14.2</x:v>
      </x:c>
      <x:c r="F129" s="28" t="str">
        <x:v>RB|125</x:v>
      </x:c>
      <x:c r="G129" s="28" t="n">
        <x:f>XLOOKUP(A129,'Assumptions'!$A$12:$A$15,'Assumptions'!$C$12:$C$15)</x:f>
        <x:v>124.5</x:v>
      </x:c>
      <x:c r="H129" s="28" t="n">
        <x:f>E129-G129</x:f>
        <x:v>-110.3</x:v>
      </x:c>
      <x:c r="I129" s="29" t="n">
        <x:v>0</x:v>
      </x:c>
      <x:c r="J129" s="28" t="n">
        <x:f>H129+I129</x:f>
        <x:v>-110.3</x:v>
      </x:c>
      <x:c r="K129" s="26" t="str">
        <x:v>Projection-only v1.0</x:v>
      </x:c>
      <x:c r="L129" s="26" t="n">
        <x:f>RANK.EQ(J129,$J$5:$J$619,0)</x:f>
        <x:v>399</x:v>
      </x:c>
      <x:c r="M129" s="26" t="str">
        <x:f>IF(I129=0,"PROJECTION ONLY","EDITORIAL ADJUSTMENT")</x:f>
        <x:v>PROJECTION ONLY</x:v>
      </x:c>
    </x:row>
    <x:row r="130">
      <x:c r="A130" s="26" t="str">
        <x:v>RB</x:v>
      </x:c>
      <x:c r="B130" s="26" t="n">
        <x:v>126</x:v>
      </x:c>
      <x:c r="C130" s="26" t="str">
        <x:v>Alec Ingold</x:v>
      </x:c>
      <x:c r="D130" s="26" t="str">
        <x:v>LAC</x:v>
      </x:c>
      <x:c r="E130" s="28" t="n">
        <x:v>8.7</x:v>
      </x:c>
      <x:c r="F130" s="28" t="str">
        <x:v>RB|126</x:v>
      </x:c>
      <x:c r="G130" s="28" t="n">
        <x:f>XLOOKUP(A130,'Assumptions'!$A$12:$A$15,'Assumptions'!$C$12:$C$15)</x:f>
        <x:v>124.5</x:v>
      </x:c>
      <x:c r="H130" s="28" t="n">
        <x:f>E130-G130</x:f>
        <x:v>-115.8</x:v>
      </x:c>
      <x:c r="I130" s="29" t="n">
        <x:v>0</x:v>
      </x:c>
      <x:c r="J130" s="28" t="n">
        <x:f>H130+I130</x:f>
        <x:v>-115.8</x:v>
      </x:c>
      <x:c r="K130" s="26" t="str">
        <x:v>Projection-only v1.0</x:v>
      </x:c>
      <x:c r="L130" s="26" t="n">
        <x:f>RANK.EQ(J130,$J$5:$J$619,0)</x:f>
        <x:v>461</x:v>
      </x:c>
      <x:c r="M130" s="26" t="str">
        <x:f>IF(I130=0,"PROJECTION ONLY","EDITORIAL ADJUSTMENT")</x:f>
        <x:v>PROJECTION ONLY</x:v>
      </x:c>
    </x:row>
    <x:row r="131">
      <x:c r="A131" s="26" t="str">
        <x:v>RB</x:v>
      </x:c>
      <x:c r="B131" s="26" t="n">
        <x:v>127</x:v>
      </x:c>
      <x:c r="C131" s="26" t="str">
        <x:v>Andrew Beck</x:v>
      </x:c>
      <x:c r="D131" s="26" t="str">
        <x:v>NYJ</x:v>
      </x:c>
      <x:c r="E131" s="28" t="n">
        <x:v>8.3</x:v>
      </x:c>
      <x:c r="F131" s="28" t="str">
        <x:v>RB|127</x:v>
      </x:c>
      <x:c r="G131" s="28" t="n">
        <x:f>XLOOKUP(A131,'Assumptions'!$A$12:$A$15,'Assumptions'!$C$12:$C$15)</x:f>
        <x:v>124.5</x:v>
      </x:c>
      <x:c r="H131" s="28" t="n">
        <x:f>E131-G131</x:f>
        <x:v>-116.2</x:v>
      </x:c>
      <x:c r="I131" s="29" t="n">
        <x:v>0</x:v>
      </x:c>
      <x:c r="J131" s="28" t="n">
        <x:f>H131+I131</x:f>
        <x:v>-116.2</x:v>
      </x:c>
      <x:c r="K131" s="26" t="str">
        <x:v>Projection-only v1.0</x:v>
      </x:c>
      <x:c r="L131" s="26" t="n">
        <x:f>RANK.EQ(J131,$J$5:$J$619,0)</x:f>
        <x:v>464</x:v>
      </x:c>
      <x:c r="M131" s="26" t="str">
        <x:f>IF(I131=0,"PROJECTION ONLY","EDITORIAL ADJUSTMENT")</x:f>
        <x:v>PROJECTION ONLY</x:v>
      </x:c>
    </x:row>
    <x:row r="132">
      <x:c r="A132" s="26" t="str">
        <x:v>RB</x:v>
      </x:c>
      <x:c r="B132" s="26" t="n">
        <x:v>128</x:v>
      </x:c>
      <x:c r="C132" s="26" t="str">
        <x:v>Jamal Haynes</x:v>
      </x:c>
      <x:c r="D132" s="26" t="str">
        <x:v>CIN</x:v>
      </x:c>
      <x:c r="E132" s="28" t="n">
        <x:v>8.7</x:v>
      </x:c>
      <x:c r="F132" s="28" t="str">
        <x:v>RB|128</x:v>
      </x:c>
      <x:c r="G132" s="28" t="n">
        <x:f>XLOOKUP(A132,'Assumptions'!$A$12:$A$15,'Assumptions'!$C$12:$C$15)</x:f>
        <x:v>124.5</x:v>
      </x:c>
      <x:c r="H132" s="28" t="n">
        <x:f>E132-G132</x:f>
        <x:v>-115.8</x:v>
      </x:c>
      <x:c r="I132" s="29" t="n">
        <x:v>0</x:v>
      </x:c>
      <x:c r="J132" s="28" t="n">
        <x:f>H132+I132</x:f>
        <x:v>-115.8</x:v>
      </x:c>
      <x:c r="K132" s="26" t="str">
        <x:v>Projection-only v1.0</x:v>
      </x:c>
      <x:c r="L132" s="26" t="n">
        <x:f>RANK.EQ(J132,$J$5:$J$619,0)</x:f>
        <x:v>461</x:v>
      </x:c>
      <x:c r="M132" s="26" t="str">
        <x:f>IF(I132=0,"PROJECTION ONLY","EDITORIAL ADJUSTMENT")</x:f>
        <x:v>PROJECTION ONLY</x:v>
      </x:c>
    </x:row>
    <x:row r="133">
      <x:c r="A133" s="26" t="str">
        <x:v>RB</x:v>
      </x:c>
      <x:c r="B133" s="26" t="n">
        <x:v>129</x:v>
      </x:c>
      <x:c r="C133" s="26" t="str">
        <x:v>Max Bredeson</x:v>
      </x:c>
      <x:c r="D133" s="26" t="str">
        <x:v>MIN</x:v>
      </x:c>
      <x:c r="E133" s="28" t="n">
        <x:v>7.5</x:v>
      </x:c>
      <x:c r="F133" s="28" t="str">
        <x:v>RB|129</x:v>
      </x:c>
      <x:c r="G133" s="28" t="n">
        <x:f>XLOOKUP(A133,'Assumptions'!$A$12:$A$15,'Assumptions'!$C$12:$C$15)</x:f>
        <x:v>124.5</x:v>
      </x:c>
      <x:c r="H133" s="28" t="n">
        <x:f>E133-G133</x:f>
        <x:v>-117</x:v>
      </x:c>
      <x:c r="I133" s="29" t="n">
        <x:v>0</x:v>
      </x:c>
      <x:c r="J133" s="28" t="n">
        <x:f>H133+I133</x:f>
        <x:v>-117</x:v>
      </x:c>
      <x:c r="K133" s="26" t="str">
        <x:v>Projection-only v1.0</x:v>
      </x:c>
      <x:c r="L133" s="26" t="n">
        <x:f>RANK.EQ(J133,$J$5:$J$619,0)</x:f>
        <x:v>466</x:v>
      </x:c>
      <x:c r="M133" s="26" t="str">
        <x:f>IF(I133=0,"PROJECTION ONLY","EDITORIAL ADJUSTMENT")</x:f>
        <x:v>PROJECTION ONLY</x:v>
      </x:c>
    </x:row>
    <x:row r="134">
      <x:c r="A134" s="26" t="str">
        <x:v>RB</x:v>
      </x:c>
      <x:c r="B134" s="26" t="n">
        <x:v>130</x:v>
      </x:c>
      <x:c r="C134" s="26" t="str">
        <x:v>Lan Larison</x:v>
      </x:c>
      <x:c r="D134" s="26" t="str">
        <x:v>NE</x:v>
      </x:c>
      <x:c r="E134" s="28" t="n">
        <x:v>9.5</x:v>
      </x:c>
      <x:c r="F134" s="28" t="str">
        <x:v>RB|130</x:v>
      </x:c>
      <x:c r="G134" s="28" t="n">
        <x:f>XLOOKUP(A134,'Assumptions'!$A$12:$A$15,'Assumptions'!$C$12:$C$15)</x:f>
        <x:v>124.5</x:v>
      </x:c>
      <x:c r="H134" s="28" t="n">
        <x:f>E134-G134</x:f>
        <x:v>-115</x:v>
      </x:c>
      <x:c r="I134" s="29" t="n">
        <x:v>0</x:v>
      </x:c>
      <x:c r="J134" s="28" t="n">
        <x:f>H134+I134</x:f>
        <x:v>-115</x:v>
      </x:c>
      <x:c r="K134" s="26" t="str">
        <x:v>Projection-only v1.0</x:v>
      </x:c>
      <x:c r="L134" s="26" t="n">
        <x:f>RANK.EQ(J134,$J$5:$J$619,0)</x:f>
        <x:v>458</x:v>
      </x:c>
      <x:c r="M134" s="26" t="str">
        <x:f>IF(I134=0,"PROJECTION ONLY","EDITORIAL ADJUSTMENT")</x:f>
        <x:v>PROJECTION ONLY</x:v>
      </x:c>
    </x:row>
    <x:row r="135">
      <x:c r="A135" s="26" t="str">
        <x:v>RB</x:v>
      </x:c>
      <x:c r="B135" s="26" t="n">
        <x:v>131</x:v>
      </x:c>
      <x:c r="C135" s="26" t="str">
        <x:v>Adam Prentice</x:v>
      </x:c>
      <x:c r="D135" s="26" t="str">
        <x:v>DEN</x:v>
      </x:c>
      <x:c r="E135" s="28" t="n">
        <x:v>7.6</x:v>
      </x:c>
      <x:c r="F135" s="28" t="str">
        <x:v>RB|131</x:v>
      </x:c>
      <x:c r="G135" s="28" t="n">
        <x:f>XLOOKUP(A135,'Assumptions'!$A$12:$A$15,'Assumptions'!$C$12:$C$15)</x:f>
        <x:v>124.5</x:v>
      </x:c>
      <x:c r="H135" s="28" t="n">
        <x:f>E135-G135</x:f>
        <x:v>-116.9</x:v>
      </x:c>
      <x:c r="I135" s="29" t="n">
        <x:v>0</x:v>
      </x:c>
      <x:c r="J135" s="28" t="n">
        <x:f>H135+I135</x:f>
        <x:v>-116.9</x:v>
      </x:c>
      <x:c r="K135" s="26" t="str">
        <x:v>Projection-only v1.0</x:v>
      </x:c>
      <x:c r="L135" s="26" t="n">
        <x:f>RANK.EQ(J135,$J$5:$J$619,0)</x:f>
        <x:v>465</x:v>
      </x:c>
      <x:c r="M135" s="26" t="str">
        <x:f>IF(I135=0,"PROJECTION ONLY","EDITORIAL ADJUSTMENT")</x:f>
        <x:v>PROJECTION ONLY</x:v>
      </x:c>
    </x:row>
    <x:row r="136">
      <x:c r="A136" s="26" t="str">
        <x:v>RB</x:v>
      </x:c>
      <x:c r="B136" s="26" t="n">
        <x:v>132</x:v>
      </x:c>
      <x:c r="C136" s="26" t="str">
        <x:v>Jaydn Ott</x:v>
      </x:c>
      <x:c r="D136" s="26" t="str">
        <x:v>KC</x:v>
      </x:c>
      <x:c r="E136" s="28" t="n">
        <x:v>8.5</x:v>
      </x:c>
      <x:c r="F136" s="28" t="str">
        <x:v>RB|132</x:v>
      </x:c>
      <x:c r="G136" s="28" t="n">
        <x:f>XLOOKUP(A136,'Assumptions'!$A$12:$A$15,'Assumptions'!$C$12:$C$15)</x:f>
        <x:v>124.5</x:v>
      </x:c>
      <x:c r="H136" s="28" t="n">
        <x:f>E136-G136</x:f>
        <x:v>-116</x:v>
      </x:c>
      <x:c r="I136" s="29" t="n">
        <x:v>0</x:v>
      </x:c>
      <x:c r="J136" s="28" t="n">
        <x:f>H136+I136</x:f>
        <x:v>-116</x:v>
      </x:c>
      <x:c r="K136" s="26" t="str">
        <x:v>Projection-only v1.0</x:v>
      </x:c>
      <x:c r="L136" s="26" t="n">
        <x:f>RANK.EQ(J136,$J$5:$J$619,0)</x:f>
        <x:v>463</x:v>
      </x:c>
      <x:c r="M136" s="26" t="str">
        <x:f>IF(I136=0,"PROJECTION ONLY","EDITORIAL ADJUSTMENT")</x:f>
        <x:v>PROJECTION ONLY</x:v>
      </x:c>
    </x:row>
    <x:row r="137">
      <x:c r="A137" s="26" t="str">
        <x:v>RB</x:v>
      </x:c>
      <x:c r="B137" s="26" t="n">
        <x:v>133</x:v>
      </x:c>
      <x:c r="C137" s="26" t="str">
        <x:v>Riley Nowakowski</x:v>
      </x:c>
      <x:c r="D137" s="26" t="str">
        <x:v>PIT</x:v>
      </x:c>
      <x:c r="E137" s="28" t="n">
        <x:v>6</x:v>
      </x:c>
      <x:c r="F137" s="28" t="str">
        <x:v>RB|133</x:v>
      </x:c>
      <x:c r="G137" s="28" t="n">
        <x:f>XLOOKUP(A137,'Assumptions'!$A$12:$A$15,'Assumptions'!$C$12:$C$15)</x:f>
        <x:v>124.5</x:v>
      </x:c>
      <x:c r="H137" s="28" t="n">
        <x:f>E137-G137</x:f>
        <x:v>-118.5</x:v>
      </x:c>
      <x:c r="I137" s="29" t="n">
        <x:v>0</x:v>
      </x:c>
      <x:c r="J137" s="28" t="n">
        <x:f>H137+I137</x:f>
        <x:v>-118.5</x:v>
      </x:c>
      <x:c r="K137" s="26" t="str">
        <x:v>Projection-only v1.0</x:v>
      </x:c>
      <x:c r="L137" s="26" t="n">
        <x:f>RANK.EQ(J137,$J$5:$J$619,0)</x:f>
        <x:v>469</x:v>
      </x:c>
      <x:c r="M137" s="26" t="str">
        <x:f>IF(I137=0,"PROJECTION ONLY","EDITORIAL ADJUSTMENT")</x:f>
        <x:v>PROJECTION ONLY</x:v>
      </x:c>
    </x:row>
    <x:row r="138">
      <x:c r="A138" s="26" t="str">
        <x:v>RB</x:v>
      </x:c>
      <x:c r="B138" s="26" t="n">
        <x:v>134</x:v>
      </x:c>
      <x:c r="C138" s="26" t="str">
        <x:v>Dean Connors</x:v>
      </x:c>
      <x:c r="D138" s="26" t="str">
        <x:v>LAR</x:v>
      </x:c>
      <x:c r="E138" s="28" t="n">
        <x:v>7.1</x:v>
      </x:c>
      <x:c r="F138" s="28" t="str">
        <x:v>RB|134</x:v>
      </x:c>
      <x:c r="G138" s="28" t="n">
        <x:f>XLOOKUP(A138,'Assumptions'!$A$12:$A$15,'Assumptions'!$C$12:$C$15)</x:f>
        <x:v>124.5</x:v>
      </x:c>
      <x:c r="H138" s="28" t="n">
        <x:f>E138-G138</x:f>
        <x:v>-117.4</x:v>
      </x:c>
      <x:c r="I138" s="29" t="n">
        <x:v>0</x:v>
      </x:c>
      <x:c r="J138" s="28" t="n">
        <x:f>H138+I138</x:f>
        <x:v>-117.4</x:v>
      </x:c>
      <x:c r="K138" s="26" t="str">
        <x:v>Projection-only v1.0</x:v>
      </x:c>
      <x:c r="L138" s="26" t="n">
        <x:f>RANK.EQ(J138,$J$5:$J$619,0)</x:f>
        <x:v>467</x:v>
      </x:c>
      <x:c r="M138" s="26" t="str">
        <x:f>IF(I138=0,"PROJECTION ONLY","EDITORIAL ADJUSTMENT")</x:f>
        <x:v>PROJECTION ONLY</x:v>
      </x:c>
    </x:row>
    <x:row r="139">
      <x:c r="A139" s="26" t="str">
        <x:v>RB</x:v>
      </x:c>
      <x:c r="B139" s="26" t="n">
        <x:v>135</x:v>
      </x:c>
      <x:c r="C139" s="26" t="str">
        <x:v>Damien Martinez</x:v>
      </x:c>
      <x:c r="D139" s="26" t="str">
        <x:v>GB</x:v>
      </x:c>
      <x:c r="E139" s="28" t="n">
        <x:v>6.2</x:v>
      </x:c>
      <x:c r="F139" s="28" t="str">
        <x:v>RB|135</x:v>
      </x:c>
      <x:c r="G139" s="28" t="n">
        <x:f>XLOOKUP(A139,'Assumptions'!$A$12:$A$15,'Assumptions'!$C$12:$C$15)</x:f>
        <x:v>124.5</x:v>
      </x:c>
      <x:c r="H139" s="28" t="n">
        <x:f>E139-G139</x:f>
        <x:v>-118.3</x:v>
      </x:c>
      <x:c r="I139" s="29" t="n">
        <x:v>0</x:v>
      </x:c>
      <x:c r="J139" s="28" t="n">
        <x:f>H139+I139</x:f>
        <x:v>-118.3</x:v>
      </x:c>
      <x:c r="K139" s="26" t="str">
        <x:v>Projection-only v1.0</x:v>
      </x:c>
      <x:c r="L139" s="26" t="n">
        <x:f>RANK.EQ(J139,$J$5:$J$619,0)</x:f>
        <x:v>468</x:v>
      </x:c>
      <x:c r="M139" s="26" t="str">
        <x:f>IF(I139=0,"PROJECTION ONLY","EDITORIAL ADJUSTMENT")</x:f>
        <x:v>PROJECTION ONLY</x:v>
      </x:c>
    </x:row>
    <x:row r="140">
      <x:c r="A140" s="26" t="str">
        <x:v>RB</x:v>
      </x:c>
      <x:c r="B140" s="26" t="n">
        <x:v>136</x:v>
      </x:c>
      <x:c r="C140" s="26" t="str">
        <x:v>Reggie Gilliam</x:v>
      </x:c>
      <x:c r="D140" s="26" t="str">
        <x:v>NE</x:v>
      </x:c>
      <x:c r="E140" s="28" t="n">
        <x:v>5.1</x:v>
      </x:c>
      <x:c r="F140" s="28" t="str">
        <x:v>RB|136</x:v>
      </x:c>
      <x:c r="G140" s="28" t="n">
        <x:f>XLOOKUP(A140,'Assumptions'!$A$12:$A$15,'Assumptions'!$C$12:$C$15)</x:f>
        <x:v>124.5</x:v>
      </x:c>
      <x:c r="H140" s="28" t="n">
        <x:f>E140-G140</x:f>
        <x:v>-119.4</x:v>
      </x:c>
      <x:c r="I140" s="29" t="n">
        <x:v>0</x:v>
      </x:c>
      <x:c r="J140" s="28" t="n">
        <x:f>H140+I140</x:f>
        <x:v>-119.4</x:v>
      </x:c>
      <x:c r="K140" s="26" t="str">
        <x:v>Projection-only v1.0</x:v>
      </x:c>
      <x:c r="L140" s="26" t="n">
        <x:f>RANK.EQ(J140,$J$5:$J$619,0)</x:f>
        <x:v>472</x:v>
      </x:c>
      <x:c r="M140" s="26" t="str">
        <x:f>IF(I140=0,"PROJECTION ONLY","EDITORIAL ADJUSTMENT")</x:f>
        <x:v>PROJECTION ONLY</x:v>
      </x:c>
    </x:row>
    <x:row r="141">
      <x:c r="A141" s="26" t="str">
        <x:v>RB</x:v>
      </x:c>
      <x:c r="B141" s="26" t="n">
        <x:v>137</x:v>
      </x:c>
      <x:c r="C141" s="26" t="str">
        <x:v>Michael Carter</x:v>
      </x:c>
      <x:c r="D141" s="26" t="str">
        <x:v>TEN</x:v>
      </x:c>
      <x:c r="E141" s="28" t="n">
        <x:v>5.8</x:v>
      </x:c>
      <x:c r="F141" s="28" t="str">
        <x:v>RB|137</x:v>
      </x:c>
      <x:c r="G141" s="28" t="n">
        <x:f>XLOOKUP(A141,'Assumptions'!$A$12:$A$15,'Assumptions'!$C$12:$C$15)</x:f>
        <x:v>124.5</x:v>
      </x:c>
      <x:c r="H141" s="28" t="n">
        <x:f>E141-G141</x:f>
        <x:v>-118.7</x:v>
      </x:c>
      <x:c r="I141" s="29" t="n">
        <x:v>0</x:v>
      </x:c>
      <x:c r="J141" s="28" t="n">
        <x:f>H141+I141</x:f>
        <x:v>-118.7</x:v>
      </x:c>
      <x:c r="K141" s="26" t="str">
        <x:v>Projection-only v1.0</x:v>
      </x:c>
      <x:c r="L141" s="26" t="n">
        <x:f>RANK.EQ(J141,$J$5:$J$619,0)</x:f>
        <x:v>470</x:v>
      </x:c>
      <x:c r="M141" s="26" t="str">
        <x:f>IF(I141=0,"PROJECTION ONLY","EDITORIAL ADJUSTMENT")</x:f>
        <x:v>PROJECTION ONLY</x:v>
      </x:c>
    </x:row>
    <x:row r="142">
      <x:c r="A142" s="26" t="str">
        <x:v>RB</x:v>
      </x:c>
      <x:c r="B142" s="26" t="n">
        <x:v>138</x:v>
      </x:c>
      <x:c r="C142" s="26" t="str">
        <x:v>Patrick Ricard</x:v>
      </x:c>
      <x:c r="D142" s="26" t="str">
        <x:v>NYG</x:v>
      </x:c>
      <x:c r="E142" s="28" t="n">
        <x:v>3.6</x:v>
      </x:c>
      <x:c r="F142" s="28" t="str">
        <x:v>RB|138</x:v>
      </x:c>
      <x:c r="G142" s="28" t="n">
        <x:f>XLOOKUP(A142,'Assumptions'!$A$12:$A$15,'Assumptions'!$C$12:$C$15)</x:f>
        <x:v>124.5</x:v>
      </x:c>
      <x:c r="H142" s="28" t="n">
        <x:f>E142-G142</x:f>
        <x:v>-120.9</x:v>
      </x:c>
      <x:c r="I142" s="29" t="n">
        <x:v>0</x:v>
      </x:c>
      <x:c r="J142" s="28" t="n">
        <x:f>H142+I142</x:f>
        <x:v>-120.9</x:v>
      </x:c>
      <x:c r="K142" s="26" t="str">
        <x:v>Projection-only v1.0</x:v>
      </x:c>
      <x:c r="L142" s="26" t="n">
        <x:f>RANK.EQ(J142,$J$5:$J$619,0)</x:f>
        <x:v>477</x:v>
      </x:c>
      <x:c r="M142" s="26" t="str">
        <x:f>IF(I142=0,"PROJECTION ONLY","EDITORIAL ADJUSTMENT")</x:f>
        <x:v>PROJECTION ONLY</x:v>
      </x:c>
    </x:row>
    <x:row r="143">
      <x:c r="A143" s="26" t="str">
        <x:v>RB</x:v>
      </x:c>
      <x:c r="B143" s="26" t="n">
        <x:v>139</x:v>
      </x:c>
      <x:c r="C143" s="26" t="str">
        <x:v>Kalel Mullings</x:v>
      </x:c>
      <x:c r="D143" s="26" t="str">
        <x:v>TEN</x:v>
      </x:c>
      <x:c r="E143" s="28" t="n">
        <x:v>4</x:v>
      </x:c>
      <x:c r="F143" s="28" t="str">
        <x:v>RB|139</x:v>
      </x:c>
      <x:c r="G143" s="28" t="n">
        <x:f>XLOOKUP(A143,'Assumptions'!$A$12:$A$15,'Assumptions'!$C$12:$C$15)</x:f>
        <x:v>124.5</x:v>
      </x:c>
      <x:c r="H143" s="28" t="n">
        <x:f>E143-G143</x:f>
        <x:v>-120.5</x:v>
      </x:c>
      <x:c r="I143" s="29" t="n">
        <x:v>0</x:v>
      </x:c>
      <x:c r="J143" s="28" t="n">
        <x:f>H143+I143</x:f>
        <x:v>-120.5</x:v>
      </x:c>
      <x:c r="K143" s="26" t="str">
        <x:v>Projection-only v1.0</x:v>
      </x:c>
      <x:c r="L143" s="26" t="n">
        <x:f>RANK.EQ(J143,$J$5:$J$619,0)</x:f>
        <x:v>474</x:v>
      </x:c>
      <x:c r="M143" s="26" t="str">
        <x:f>IF(I143=0,"PROJECTION ONLY","EDITORIAL ADJUSTMENT")</x:f>
        <x:v>PROJECTION ONLY</x:v>
      </x:c>
    </x:row>
    <x:row r="144">
      <x:c r="A144" s="26" t="str">
        <x:v>RB</x:v>
      </x:c>
      <x:c r="B144" s="26" t="n">
        <x:v>140</x:v>
      </x:c>
      <x:c r="C144" s="26" t="str">
        <x:v>Ameer Abdullah</x:v>
      </x:c>
      <x:c r="D144" s="26" t="str">
        <x:v>JAX</x:v>
      </x:c>
      <x:c r="E144" s="28" t="n">
        <x:v>3.8</x:v>
      </x:c>
      <x:c r="F144" s="28" t="str">
        <x:v>RB|140</x:v>
      </x:c>
      <x:c r="G144" s="28" t="n">
        <x:f>XLOOKUP(A144,'Assumptions'!$A$12:$A$15,'Assumptions'!$C$12:$C$15)</x:f>
        <x:v>124.5</x:v>
      </x:c>
      <x:c r="H144" s="28" t="n">
        <x:f>E144-G144</x:f>
        <x:v>-120.7</x:v>
      </x:c>
      <x:c r="I144" s="29" t="n">
        <x:v>0</x:v>
      </x:c>
      <x:c r="J144" s="28" t="n">
        <x:f>H144+I144</x:f>
        <x:v>-120.7</x:v>
      </x:c>
      <x:c r="K144" s="26" t="str">
        <x:v>Projection-only v1.0</x:v>
      </x:c>
      <x:c r="L144" s="26" t="n">
        <x:f>RANK.EQ(J144,$J$5:$J$619,0)</x:f>
        <x:v>476</x:v>
      </x:c>
      <x:c r="M144" s="26" t="str">
        <x:f>IF(I144=0,"PROJECTION ONLY","EDITORIAL ADJUSTMENT")</x:f>
        <x:v>PROJECTION ONLY</x:v>
      </x:c>
    </x:row>
    <x:row r="145">
      <x:c r="A145" s="26" t="str">
        <x:v>RB</x:v>
      </x:c>
      <x:c r="B145" s="26" t="n">
        <x:v>141</x:v>
      </x:c>
      <x:c r="C145" s="26" t="str">
        <x:v>Jacardia Wright</x:v>
      </x:c>
      <x:c r="D145" s="26" t="str">
        <x:v>SEA</x:v>
      </x:c>
      <x:c r="E145" s="28" t="n">
        <x:v>3</x:v>
      </x:c>
      <x:c r="F145" s="28" t="str">
        <x:v>RB|141</x:v>
      </x:c>
      <x:c r="G145" s="28" t="n">
        <x:f>XLOOKUP(A145,'Assumptions'!$A$12:$A$15,'Assumptions'!$C$12:$C$15)</x:f>
        <x:v>124.5</x:v>
      </x:c>
      <x:c r="H145" s="28" t="n">
        <x:f>E145-G145</x:f>
        <x:v>-121.5</x:v>
      </x:c>
      <x:c r="I145" s="29" t="n">
        <x:v>0</x:v>
      </x:c>
      <x:c r="J145" s="28" t="n">
        <x:f>H145+I145</x:f>
        <x:v>-121.5</x:v>
      </x:c>
      <x:c r="K145" s="26" t="str">
        <x:v>Projection-only v1.0</x:v>
      </x:c>
      <x:c r="L145" s="26" t="n">
        <x:f>RANK.EQ(J145,$J$5:$J$619,0)</x:f>
        <x:v>478</x:v>
      </x:c>
      <x:c r="M145" s="26" t="str">
        <x:f>IF(I145=0,"PROJECTION ONLY","EDITORIAL ADJUSTMENT")</x:f>
        <x:v>PROJECTION ONLY</x:v>
      </x:c>
    </x:row>
    <x:row r="146">
      <x:c r="A146" s="26" t="str">
        <x:v>RB</x:v>
      </x:c>
      <x:c r="B146" s="26" t="n">
        <x:v>142</x:v>
      </x:c>
      <x:c r="C146" s="26" t="str">
        <x:v>Julius Chestnut</x:v>
      </x:c>
      <x:c r="D146" s="26" t="str">
        <x:v>TEN</x:v>
      </x:c>
      <x:c r="E146" s="28" t="n">
        <x:v>3</x:v>
      </x:c>
      <x:c r="F146" s="28" t="str">
        <x:v>RB|142</x:v>
      </x:c>
      <x:c r="G146" s="28" t="n">
        <x:f>XLOOKUP(A146,'Assumptions'!$A$12:$A$15,'Assumptions'!$C$12:$C$15)</x:f>
        <x:v>124.5</x:v>
      </x:c>
      <x:c r="H146" s="28" t="n">
        <x:f>E146-G146</x:f>
        <x:v>-121.5</x:v>
      </x:c>
      <x:c r="I146" s="29" t="n">
        <x:v>0</x:v>
      </x:c>
      <x:c r="J146" s="28" t="n">
        <x:f>H146+I146</x:f>
        <x:v>-121.5</x:v>
      </x:c>
      <x:c r="K146" s="26" t="str">
        <x:v>Projection-only v1.0</x:v>
      </x:c>
      <x:c r="L146" s="26" t="n">
        <x:f>RANK.EQ(J146,$J$5:$J$619,0)</x:f>
        <x:v>478</x:v>
      </x:c>
      <x:c r="M146" s="26" t="str">
        <x:f>IF(I146=0,"PROJECTION ONLY","EDITORIAL ADJUSTMENT")</x:f>
        <x:v>PROJECTION ONLY</x:v>
      </x:c>
    </x:row>
    <x:row r="147">
      <x:c r="A147" s="26" t="str">
        <x:v>RB</x:v>
      </x:c>
      <x:c r="B147" s="26" t="n">
        <x:v>143</x:v>
      </x:c>
      <x:c r="C147" s="26" t="str">
        <x:v>Sione Vaki</x:v>
      </x:c>
      <x:c r="D147" s="26" t="str">
        <x:v>DET</x:v>
      </x:c>
      <x:c r="E147" s="28" t="n">
        <x:v>2.2</x:v>
      </x:c>
      <x:c r="F147" s="28" t="str">
        <x:v>RB|143</x:v>
      </x:c>
      <x:c r="G147" s="28" t="n">
        <x:f>XLOOKUP(A147,'Assumptions'!$A$12:$A$15,'Assumptions'!$C$12:$C$15)</x:f>
        <x:v>124.5</x:v>
      </x:c>
      <x:c r="H147" s="28" t="n">
        <x:f>E147-G147</x:f>
        <x:v>-122.3</x:v>
      </x:c>
      <x:c r="I147" s="29" t="n">
        <x:v>0</x:v>
      </x:c>
      <x:c r="J147" s="28" t="n">
        <x:f>H147+I147</x:f>
        <x:v>-122.3</x:v>
      </x:c>
      <x:c r="K147" s="26" t="str">
        <x:v>Projection-only v1.0</x:v>
      </x:c>
      <x:c r="L147" s="26" t="n">
        <x:f>RANK.EQ(J147,$J$5:$J$619,0)</x:f>
        <x:v>482</x:v>
      </x:c>
      <x:c r="M147" s="26" t="str">
        <x:f>IF(I147=0,"PROJECTION ONLY","EDITORIAL ADJUSTMENT")</x:f>
        <x:v>PROJECTION ONLY</x:v>
      </x:c>
    </x:row>
    <x:row r="148">
      <x:c r="A148" s="26" t="str">
        <x:v>RB</x:v>
      </x:c>
      <x:c r="B148" s="26" t="n">
        <x:v>144</x:v>
      </x:c>
      <x:c r="C148" s="26" t="str">
        <x:v>British Brooks</x:v>
      </x:c>
      <x:c r="D148" s="26" t="str">
        <x:v>HOU</x:v>
      </x:c>
      <x:c r="E148" s="28" t="n">
        <x:v>2.4</x:v>
      </x:c>
      <x:c r="F148" s="28" t="str">
        <x:v>RB|144</x:v>
      </x:c>
      <x:c r="G148" s="28" t="n">
        <x:f>XLOOKUP(A148,'Assumptions'!$A$12:$A$15,'Assumptions'!$C$12:$C$15)</x:f>
        <x:v>124.5</x:v>
      </x:c>
      <x:c r="H148" s="28" t="n">
        <x:f>E148-G148</x:f>
        <x:v>-122.1</x:v>
      </x:c>
      <x:c r="I148" s="29" t="n">
        <x:v>0</x:v>
      </x:c>
      <x:c r="J148" s="28" t="n">
        <x:f>H148+I148</x:f>
        <x:v>-122.1</x:v>
      </x:c>
      <x:c r="K148" s="26" t="str">
        <x:v>Projection-only v1.0</x:v>
      </x:c>
      <x:c r="L148" s="26" t="n">
        <x:f>RANK.EQ(J148,$J$5:$J$619,0)</x:f>
        <x:v>481</x:v>
      </x:c>
      <x:c r="M148" s="26" t="str">
        <x:f>IF(I148=0,"PROJECTION ONLY","EDITORIAL ADJUSTMENT")</x:f>
        <x:v>PROJECTION ONLY</x:v>
      </x:c>
    </x:row>
    <x:row r="149">
      <x:c r="A149" s="26" t="str">
        <x:v>RB</x:v>
      </x:c>
      <x:c r="B149" s="26" t="n">
        <x:v>145</x:v>
      </x:c>
      <x:c r="C149" s="26" t="str">
        <x:v>Bam Knight</x:v>
      </x:c>
      <x:c r="D149" s="26" t="str">
        <x:v>ARI</x:v>
      </x:c>
      <x:c r="E149" s="28" t="n">
        <x:v>0</x:v>
      </x:c>
      <x:c r="F149" s="28" t="str">
        <x:v>RB|145</x:v>
      </x:c>
      <x:c r="G149" s="28" t="n">
        <x:f>XLOOKUP(A149,'Assumptions'!$A$12:$A$15,'Assumptions'!$C$12:$C$15)</x:f>
        <x:v>124.5</x:v>
      </x:c>
      <x:c r="H149" s="28" t="n">
        <x:f>E149-G149</x:f>
        <x:v>-124.5</x:v>
      </x:c>
      <x:c r="I149" s="29" t="n">
        <x:v>0</x:v>
      </x:c>
      <x:c r="J149" s="28" t="n">
        <x:f>H149+I149</x:f>
        <x:v>-124.5</x:v>
      </x:c>
      <x:c r="K149" s="26" t="str">
        <x:v>Projection-only v1.0</x:v>
      </x:c>
      <x:c r="L149" s="26" t="n">
        <x:f>RANK.EQ(J149,$J$5:$J$619,0)</x:f>
        <x:v>487</x:v>
      </x:c>
      <x:c r="M149" s="26" t="str">
        <x:f>IF(I149=0,"PROJECTION ONLY","EDITORIAL ADJUSTMENT")</x:f>
        <x:v>PROJECTION ONLY</x:v>
      </x:c>
    </x:row>
    <x:row r="150">
      <x:c r="A150" s="26" t="str">
        <x:v>RB</x:v>
      </x:c>
      <x:c r="B150" s="26" t="n">
        <x:v>146</x:v>
      </x:c>
      <x:c r="C150" s="26" t="str">
        <x:v>Brady Russell</x:v>
      </x:c>
      <x:c r="D150" s="26" t="str">
        <x:v>SEA</x:v>
      </x:c>
      <x:c r="E150" s="28" t="n">
        <x:v>0</x:v>
      </x:c>
      <x:c r="F150" s="28" t="str">
        <x:v>RB|146</x:v>
      </x:c>
      <x:c r="G150" s="28" t="n">
        <x:f>XLOOKUP(A150,'Assumptions'!$A$12:$A$15,'Assumptions'!$C$12:$C$15)</x:f>
        <x:v>124.5</x:v>
      </x:c>
      <x:c r="H150" s="28" t="n">
        <x:f>E150-G150</x:f>
        <x:v>-124.5</x:v>
      </x:c>
      <x:c r="I150" s="29" t="n">
        <x:v>0</x:v>
      </x:c>
      <x:c r="J150" s="28" t="n">
        <x:f>H150+I150</x:f>
        <x:v>-124.5</x:v>
      </x:c>
      <x:c r="K150" s="26" t="str">
        <x:v>Projection-only v1.0</x:v>
      </x:c>
      <x:c r="L150" s="26" t="n">
        <x:f>RANK.EQ(J150,$J$5:$J$619,0)</x:f>
        <x:v>487</x:v>
      </x:c>
      <x:c r="M150" s="26" t="str">
        <x:f>IF(I150=0,"PROJECTION ONLY","EDITORIAL ADJUSTMENT")</x:f>
        <x:v>PROJECTION ONLY</x:v>
      </x:c>
    </x:row>
    <x:row r="151">
      <x:c r="A151" s="26" t="str">
        <x:v>RB</x:v>
      </x:c>
      <x:c r="B151" s="26" t="n">
        <x:v>147</x:v>
      </x:c>
      <x:c r="C151" s="26" t="str">
        <x:v>Carson Steele</x:v>
      </x:c>
      <x:c r="D151" s="26" t="str">
        <x:v>PHI</x:v>
      </x:c>
      <x:c r="E151" s="28" t="n">
        <x:v>0</x:v>
      </x:c>
      <x:c r="F151" s="28" t="str">
        <x:v>RB|147</x:v>
      </x:c>
      <x:c r="G151" s="28" t="n">
        <x:f>XLOOKUP(A151,'Assumptions'!$A$12:$A$15,'Assumptions'!$C$12:$C$15)</x:f>
        <x:v>124.5</x:v>
      </x:c>
      <x:c r="H151" s="28" t="n">
        <x:f>E151-G151</x:f>
        <x:v>-124.5</x:v>
      </x:c>
      <x:c r="I151" s="29" t="n">
        <x:v>0</x:v>
      </x:c>
      <x:c r="J151" s="28" t="n">
        <x:f>H151+I151</x:f>
        <x:v>-124.5</x:v>
      </x:c>
      <x:c r="K151" s="26" t="str">
        <x:v>Projection-only v1.0</x:v>
      </x:c>
      <x:c r="L151" s="26" t="n">
        <x:f>RANK.EQ(J151,$J$5:$J$619,0)</x:f>
        <x:v>487</x:v>
      </x:c>
      <x:c r="M151" s="26" t="str">
        <x:f>IF(I151=0,"PROJECTION ONLY","EDITORIAL ADJUSTMENT")</x:f>
        <x:v>PROJECTION ONLY</x:v>
      </x:c>
    </x:row>
    <x:row r="152">
      <x:c r="A152" s="26" t="str">
        <x:v>RB</x:v>
      </x:c>
      <x:c r="B152" s="26" t="n">
        <x:v>148</x:v>
      </x:c>
      <x:c r="C152" s="26" t="str">
        <x:v>Chip Trayanum</x:v>
      </x:c>
      <x:c r="D152" s="26" t="str">
        <x:v>NYJ</x:v>
      </x:c>
      <x:c r="E152" s="28" t="n">
        <x:v>0</x:v>
      </x:c>
      <x:c r="F152" s="28" t="str">
        <x:v>RB|148</x:v>
      </x:c>
      <x:c r="G152" s="28" t="n">
        <x:f>XLOOKUP(A152,'Assumptions'!$A$12:$A$15,'Assumptions'!$C$12:$C$15)</x:f>
        <x:v>124.5</x:v>
      </x:c>
      <x:c r="H152" s="28" t="n">
        <x:f>E152-G152</x:f>
        <x:v>-124.5</x:v>
      </x:c>
      <x:c r="I152" s="29" t="n">
        <x:v>0</x:v>
      </x:c>
      <x:c r="J152" s="28" t="n">
        <x:f>H152+I152</x:f>
        <x:v>-124.5</x:v>
      </x:c>
      <x:c r="K152" s="26" t="str">
        <x:v>Projection-only v1.0</x:v>
      </x:c>
      <x:c r="L152" s="26" t="n">
        <x:f>RANK.EQ(J152,$J$5:$J$619,0)</x:f>
        <x:v>487</x:v>
      </x:c>
      <x:c r="M152" s="26" t="str">
        <x:f>IF(I152=0,"PROJECTION ONLY","EDITORIAL ADJUSTMENT")</x:f>
        <x:v>PROJECTION ONLY</x:v>
      </x:c>
    </x:row>
    <x:row r="153">
      <x:c r="A153" s="26" t="str">
        <x:v>RB</x:v>
      </x:c>
      <x:c r="B153" s="26" t="n">
        <x:v>149</x:v>
      </x:c>
      <x:c r="C153" s="26" t="str">
        <x:v>Cody Schrader</x:v>
      </x:c>
      <x:c r="D153" s="26" t="str">
        <x:v>DEN</x:v>
      </x:c>
      <x:c r="E153" s="28" t="n">
        <x:v>0</x:v>
      </x:c>
      <x:c r="F153" s="28" t="str">
        <x:v>RB|149</x:v>
      </x:c>
      <x:c r="G153" s="28" t="n">
        <x:f>XLOOKUP(A153,'Assumptions'!$A$12:$A$15,'Assumptions'!$C$12:$C$15)</x:f>
        <x:v>124.5</x:v>
      </x:c>
      <x:c r="H153" s="28" t="n">
        <x:f>E153-G153</x:f>
        <x:v>-124.5</x:v>
      </x:c>
      <x:c r="I153" s="29" t="n">
        <x:v>0</x:v>
      </x:c>
      <x:c r="J153" s="28" t="n">
        <x:f>H153+I153</x:f>
        <x:v>-124.5</x:v>
      </x:c>
      <x:c r="K153" s="26" t="str">
        <x:v>Projection-only v1.0</x:v>
      </x:c>
      <x:c r="L153" s="26" t="n">
        <x:f>RANK.EQ(J153,$J$5:$J$619,0)</x:f>
        <x:v>487</x:v>
      </x:c>
      <x:c r="M153" s="26" t="str">
        <x:f>IF(I153=0,"PROJECTION ONLY","EDITORIAL ADJUSTMENT")</x:f>
        <x:v>PROJECTION ONLY</x:v>
      </x:c>
    </x:row>
    <x:row r="154">
      <x:c r="A154" s="26" t="str">
        <x:v>RB</x:v>
      </x:c>
      <x:c r="B154" s="26" t="n">
        <x:v>150</x:v>
      </x:c>
      <x:c r="C154" s="26" t="str">
        <x:v>Corey Kiner</x:v>
      </x:c>
      <x:c r="D154" s="26" t="str">
        <x:v>ARI</x:v>
      </x:c>
      <x:c r="E154" s="28" t="n">
        <x:v>0</x:v>
      </x:c>
      <x:c r="F154" s="28" t="str">
        <x:v>RB|150</x:v>
      </x:c>
      <x:c r="G154" s="28" t="n">
        <x:f>XLOOKUP(A154,'Assumptions'!$A$12:$A$15,'Assumptions'!$C$12:$C$15)</x:f>
        <x:v>124.5</x:v>
      </x:c>
      <x:c r="H154" s="28" t="n">
        <x:f>E154-G154</x:f>
        <x:v>-124.5</x:v>
      </x:c>
      <x:c r="I154" s="29" t="n">
        <x:v>0</x:v>
      </x:c>
      <x:c r="J154" s="28" t="n">
        <x:f>H154+I154</x:f>
        <x:v>-124.5</x:v>
      </x:c>
      <x:c r="K154" s="26" t="str">
        <x:v>Projection-only v1.0</x:v>
      </x:c>
      <x:c r="L154" s="26" t="n">
        <x:f>RANK.EQ(J154,$J$5:$J$619,0)</x:f>
        <x:v>487</x:v>
      </x:c>
      <x:c r="M154" s="26" t="str">
        <x:f>IF(I154=0,"PROJECTION ONLY","EDITORIAL ADJUSTMENT")</x:f>
        <x:v>PROJECTION ONLY</x:v>
      </x:c>
    </x:row>
    <x:row r="155">
      <x:c r="A155" s="26" t="str">
        <x:v>RB</x:v>
      </x:c>
      <x:c r="B155" s="26" t="n">
        <x:v>151</x:v>
      </x:c>
      <x:c r="C155" s="26" t="str">
        <x:v>Dare Ogunbowale</x:v>
      </x:c>
      <x:c r="D155" s="26" t="str">
        <x:v>LV</x:v>
      </x:c>
      <x:c r="E155" s="28" t="n">
        <x:v>0</x:v>
      </x:c>
      <x:c r="F155" s="28" t="str">
        <x:v>RB|151</x:v>
      </x:c>
      <x:c r="G155" s="28" t="n">
        <x:f>XLOOKUP(A155,'Assumptions'!$A$12:$A$15,'Assumptions'!$C$12:$C$15)</x:f>
        <x:v>124.5</x:v>
      </x:c>
      <x:c r="H155" s="28" t="n">
        <x:f>E155-G155</x:f>
        <x:v>-124.5</x:v>
      </x:c>
      <x:c r="I155" s="29" t="n">
        <x:v>0</x:v>
      </x:c>
      <x:c r="J155" s="28" t="n">
        <x:f>H155+I155</x:f>
        <x:v>-124.5</x:v>
      </x:c>
      <x:c r="K155" s="26" t="str">
        <x:v>Projection-only v1.0</x:v>
      </x:c>
      <x:c r="L155" s="26" t="n">
        <x:f>RANK.EQ(J155,$J$5:$J$619,0)</x:f>
        <x:v>487</x:v>
      </x:c>
      <x:c r="M155" s="26" t="str">
        <x:f>IF(I155=0,"PROJECTION ONLY","EDITORIAL ADJUSTMENT")</x:f>
        <x:v>PROJECTION ONLY</x:v>
      </x:c>
    </x:row>
    <x:row r="156">
      <x:c r="A156" s="26" t="str">
        <x:v>RB</x:v>
      </x:c>
      <x:c r="B156" s="26" t="n">
        <x:v>152</x:v>
      </x:c>
      <x:c r="C156" s="26" t="str">
        <x:v>DeeJay Dallas</x:v>
      </x:c>
      <x:c r="D156" s="26" t="str">
        <x:v>JAX</x:v>
      </x:c>
      <x:c r="E156" s="28" t="n">
        <x:v>0</x:v>
      </x:c>
      <x:c r="F156" s="28" t="str">
        <x:v>RB|152</x:v>
      </x:c>
      <x:c r="G156" s="28" t="n">
        <x:f>XLOOKUP(A156,'Assumptions'!$A$12:$A$15,'Assumptions'!$C$12:$C$15)</x:f>
        <x:v>124.5</x:v>
      </x:c>
      <x:c r="H156" s="28" t="n">
        <x:f>E156-G156</x:f>
        <x:v>-124.5</x:v>
      </x:c>
      <x:c r="I156" s="29" t="n">
        <x:v>0</x:v>
      </x:c>
      <x:c r="J156" s="28" t="n">
        <x:f>H156+I156</x:f>
        <x:v>-124.5</x:v>
      </x:c>
      <x:c r="K156" s="26" t="str">
        <x:v>Projection-only v1.0</x:v>
      </x:c>
      <x:c r="L156" s="26" t="n">
        <x:f>RANK.EQ(J156,$J$5:$J$619,0)</x:f>
        <x:v>487</x:v>
      </x:c>
      <x:c r="M156" s="26" t="str">
        <x:f>IF(I156=0,"PROJECTION ONLY","EDITORIAL ADJUSTMENT")</x:f>
        <x:v>PROJECTION ONLY</x:v>
      </x:c>
    </x:row>
    <x:row r="157">
      <x:c r="A157" s="26" t="str">
        <x:v>RB</x:v>
      </x:c>
      <x:c r="B157" s="26" t="n">
        <x:v>153</x:v>
      </x:c>
      <x:c r="C157" s="26" t="str">
        <x:v>Dylan Laube</x:v>
      </x:c>
      <x:c r="D157" s="26" t="str">
        <x:v>LV</x:v>
      </x:c>
      <x:c r="E157" s="28" t="n">
        <x:v>0</x:v>
      </x:c>
      <x:c r="F157" s="28" t="str">
        <x:v>RB|153</x:v>
      </x:c>
      <x:c r="G157" s="28" t="n">
        <x:f>XLOOKUP(A157,'Assumptions'!$A$12:$A$15,'Assumptions'!$C$12:$C$15)</x:f>
        <x:v>124.5</x:v>
      </x:c>
      <x:c r="H157" s="28" t="n">
        <x:f>E157-G157</x:f>
        <x:v>-124.5</x:v>
      </x:c>
      <x:c r="I157" s="29" t="n">
        <x:v>0</x:v>
      </x:c>
      <x:c r="J157" s="28" t="n">
        <x:f>H157+I157</x:f>
        <x:v>-124.5</x:v>
      </x:c>
      <x:c r="K157" s="26" t="str">
        <x:v>Projection-only v1.0</x:v>
      </x:c>
      <x:c r="L157" s="26" t="n">
        <x:f>RANK.EQ(J157,$J$5:$J$619,0)</x:f>
        <x:v>487</x:v>
      </x:c>
      <x:c r="M157" s="26" t="str">
        <x:f>IF(I157=0,"PROJECTION ONLY","EDITORIAL ADJUSTMENT")</x:f>
        <x:v>PROJECTION ONLY</x:v>
      </x:c>
    </x:row>
    <x:row r="158">
      <x:c r="A158" s="26" t="str">
        <x:v>RB</x:v>
      </x:c>
      <x:c r="B158" s="26" t="n">
        <x:v>154</x:v>
      </x:c>
      <x:c r="C158" s="26" t="str">
        <x:v>Eric Gray</x:v>
      </x:c>
      <x:c r="D158" s="26" t="str">
        <x:v>NYG</x:v>
      </x:c>
      <x:c r="E158" s="28" t="n">
        <x:v>0</x:v>
      </x:c>
      <x:c r="F158" s="28" t="str">
        <x:v>RB|154</x:v>
      </x:c>
      <x:c r="G158" s="28" t="n">
        <x:f>XLOOKUP(A158,'Assumptions'!$A$12:$A$15,'Assumptions'!$C$12:$C$15)</x:f>
        <x:v>124.5</x:v>
      </x:c>
      <x:c r="H158" s="28" t="n">
        <x:f>E158-G158</x:f>
        <x:v>-124.5</x:v>
      </x:c>
      <x:c r="I158" s="29" t="n">
        <x:v>0</x:v>
      </x:c>
      <x:c r="J158" s="28" t="n">
        <x:f>H158+I158</x:f>
        <x:v>-124.5</x:v>
      </x:c>
      <x:c r="K158" s="26" t="str">
        <x:v>Projection-only v1.0</x:v>
      </x:c>
      <x:c r="L158" s="26" t="n">
        <x:f>RANK.EQ(J158,$J$5:$J$619,0)</x:f>
        <x:v>487</x:v>
      </x:c>
      <x:c r="M158" s="26" t="str">
        <x:f>IF(I158=0,"PROJECTION ONLY","EDITORIAL ADJUSTMENT")</x:f>
        <x:v>PROJECTION ONLY</x:v>
      </x:c>
    </x:row>
    <x:row r="159">
      <x:c r="A159" s="26" t="str">
        <x:v>RB</x:v>
      </x:c>
      <x:c r="B159" s="26" t="n">
        <x:v>155</x:v>
      </x:c>
      <x:c r="C159" s="26" t="str">
        <x:v>Gary Brightwell</x:v>
      </x:c>
      <x:c r="D159" s="26" t="str">
        <x:v>CIN</x:v>
      </x:c>
      <x:c r="E159" s="28" t="n">
        <x:v>0</x:v>
      </x:c>
      <x:c r="F159" s="28" t="str">
        <x:v>RB|155</x:v>
      </x:c>
      <x:c r="G159" s="28" t="n">
        <x:f>XLOOKUP(A159,'Assumptions'!$A$12:$A$15,'Assumptions'!$C$12:$C$15)</x:f>
        <x:v>124.5</x:v>
      </x:c>
      <x:c r="H159" s="28" t="n">
        <x:f>E159-G159</x:f>
        <x:v>-124.5</x:v>
      </x:c>
      <x:c r="I159" s="29" t="n">
        <x:v>0</x:v>
      </x:c>
      <x:c r="J159" s="28" t="n">
        <x:f>H159+I159</x:f>
        <x:v>-124.5</x:v>
      </x:c>
      <x:c r="K159" s="26" t="str">
        <x:v>Projection-only v1.0</x:v>
      </x:c>
      <x:c r="L159" s="26" t="n">
        <x:f>RANK.EQ(J159,$J$5:$J$619,0)</x:f>
        <x:v>487</x:v>
      </x:c>
      <x:c r="M159" s="26" t="str">
        <x:f>IF(I159=0,"PROJECTION ONLY","EDITORIAL ADJUSTMENT")</x:f>
        <x:v>PROJECTION ONLY</x:v>
      </x:c>
    </x:row>
    <x:row r="160">
      <x:c r="A160" s="26" t="str">
        <x:v>RB</x:v>
      </x:c>
      <x:c r="B160" s="26" t="n">
        <x:v>156</x:v>
      </x:c>
      <x:c r="C160" s="26" t="str">
        <x:v>Jacob Saylors</x:v>
      </x:c>
      <x:c r="D160" s="26" t="str">
        <x:v>DET</x:v>
      </x:c>
      <x:c r="E160" s="28" t="n">
        <x:v>0</x:v>
      </x:c>
      <x:c r="F160" s="28" t="str">
        <x:v>RB|156</x:v>
      </x:c>
      <x:c r="G160" s="28" t="n">
        <x:f>XLOOKUP(A160,'Assumptions'!$A$12:$A$15,'Assumptions'!$C$12:$C$15)</x:f>
        <x:v>124.5</x:v>
      </x:c>
      <x:c r="H160" s="28" t="n">
        <x:f>E160-G160</x:f>
        <x:v>-124.5</x:v>
      </x:c>
      <x:c r="I160" s="29" t="n">
        <x:v>0</x:v>
      </x:c>
      <x:c r="J160" s="28" t="n">
        <x:f>H160+I160</x:f>
        <x:v>-124.5</x:v>
      </x:c>
      <x:c r="K160" s="26" t="str">
        <x:v>Projection-only v1.0</x:v>
      </x:c>
      <x:c r="L160" s="26" t="n">
        <x:f>RANK.EQ(J160,$J$5:$J$619,0)</x:f>
        <x:v>487</x:v>
      </x:c>
      <x:c r="M160" s="26" t="str">
        <x:f>IF(I160=0,"PROJECTION ONLY","EDITORIAL ADJUSTMENT")</x:f>
        <x:v>PROJECTION ONLY</x:v>
      </x:c>
    </x:row>
    <x:row r="161">
      <x:c r="A161" s="26" t="str">
        <x:v>RB</x:v>
      </x:c>
      <x:c r="B161" s="26" t="n">
        <x:v>157</x:v>
      </x:c>
      <x:c r="C161" s="26" t="str">
        <x:v>Josh Williams</x:v>
      </x:c>
      <x:c r="D161" s="26" t="str">
        <x:v>TB</x:v>
      </x:c>
      <x:c r="E161" s="28" t="n">
        <x:v>0</x:v>
      </x:c>
      <x:c r="F161" s="28" t="str">
        <x:v>RB|157</x:v>
      </x:c>
      <x:c r="G161" s="28" t="n">
        <x:f>XLOOKUP(A161,'Assumptions'!$A$12:$A$15,'Assumptions'!$C$12:$C$15)</x:f>
        <x:v>124.5</x:v>
      </x:c>
      <x:c r="H161" s="28" t="n">
        <x:f>E161-G161</x:f>
        <x:v>-124.5</x:v>
      </x:c>
      <x:c r="I161" s="29" t="n">
        <x:v>0</x:v>
      </x:c>
      <x:c r="J161" s="28" t="n">
        <x:f>H161+I161</x:f>
        <x:v>-124.5</x:v>
      </x:c>
      <x:c r="K161" s="26" t="str">
        <x:v>Projection-only v1.0</x:v>
      </x:c>
      <x:c r="L161" s="26" t="n">
        <x:f>RANK.EQ(J161,$J$5:$J$619,0)</x:f>
        <x:v>487</x:v>
      </x:c>
      <x:c r="M161" s="26" t="str">
        <x:f>IF(I161=0,"PROJECTION ONLY","EDITORIAL ADJUSTMENT")</x:f>
        <x:v>PROJECTION ONLY</x:v>
      </x:c>
    </x:row>
    <x:row r="162">
      <x:c r="A162" s="26" t="str">
        <x:v>RB</x:v>
      </x:c>
      <x:c r="B162" s="26" t="n">
        <x:v>158</x:v>
      </x:c>
      <x:c r="C162" s="26" t="str">
        <x:v>Kene Nwangwu</x:v>
      </x:c>
      <x:c r="D162" s="26" t="str">
        <x:v>NYJ</x:v>
      </x:c>
      <x:c r="E162" s="28" t="n">
        <x:v>0</x:v>
      </x:c>
      <x:c r="F162" s="28" t="str">
        <x:v>RB|158</x:v>
      </x:c>
      <x:c r="G162" s="28" t="n">
        <x:f>XLOOKUP(A162,'Assumptions'!$A$12:$A$15,'Assumptions'!$C$12:$C$15)</x:f>
        <x:v>124.5</x:v>
      </x:c>
      <x:c r="H162" s="28" t="n">
        <x:f>E162-G162</x:f>
        <x:v>-124.5</x:v>
      </x:c>
      <x:c r="I162" s="29" t="n">
        <x:v>0</x:v>
      </x:c>
      <x:c r="J162" s="28" t="n">
        <x:f>H162+I162</x:f>
        <x:v>-124.5</x:v>
      </x:c>
      <x:c r="K162" s="26" t="str">
        <x:v>Projection-only v1.0</x:v>
      </x:c>
      <x:c r="L162" s="26" t="n">
        <x:f>RANK.EQ(J162,$J$5:$J$619,0)</x:f>
        <x:v>487</x:v>
      </x:c>
      <x:c r="M162" s="26" t="str">
        <x:f>IF(I162=0,"PROJECTION ONLY","EDITORIAL ADJUSTMENT")</x:f>
        <x:v>PROJECTION ONLY</x:v>
      </x:c>
    </x:row>
    <x:row r="163">
      <x:c r="A163" s="26" t="str">
        <x:v>RB</x:v>
      </x:c>
      <x:c r="B163" s="26" t="n">
        <x:v>159</x:v>
      </x:c>
      <x:c r="C163" s="26" t="str">
        <x:v>Khalil Herbert</x:v>
      </x:c>
      <x:c r="D163" s="26" t="str">
        <x:v>SF</x:v>
      </x:c>
      <x:c r="E163" s="28" t="n">
        <x:v>0</x:v>
      </x:c>
      <x:c r="F163" s="28" t="str">
        <x:v>RB|159</x:v>
      </x:c>
      <x:c r="G163" s="28" t="n">
        <x:f>XLOOKUP(A163,'Assumptions'!$A$12:$A$15,'Assumptions'!$C$12:$C$15)</x:f>
        <x:v>124.5</x:v>
      </x:c>
      <x:c r="H163" s="28" t="n">
        <x:f>E163-G163</x:f>
        <x:v>-124.5</x:v>
      </x:c>
      <x:c r="I163" s="29" t="n">
        <x:v>0</x:v>
      </x:c>
      <x:c r="J163" s="28" t="n">
        <x:f>H163+I163</x:f>
        <x:v>-124.5</x:v>
      </x:c>
      <x:c r="K163" s="26" t="str">
        <x:v>Projection-only v1.0</x:v>
      </x:c>
      <x:c r="L163" s="26" t="n">
        <x:f>RANK.EQ(J163,$J$5:$J$619,0)</x:f>
        <x:v>487</x:v>
      </x:c>
      <x:c r="M163" s="26" t="str">
        <x:f>IF(I163=0,"PROJECTION ONLY","EDITORIAL ADJUSTMENT")</x:f>
        <x:v>PROJECTION ONLY</x:v>
      </x:c>
    </x:row>
    <x:row r="164">
      <x:c r="A164" s="26" t="str">
        <x:v>RB</x:v>
      </x:c>
      <x:c r="B164" s="26" t="n">
        <x:v>160</x:v>
      </x:c>
      <x:c r="C164" s="26" t="str">
        <x:v>Noah Whittington</x:v>
      </x:c>
      <x:c r="D164" s="26" t="str">
        <x:v>HOU</x:v>
      </x:c>
      <x:c r="E164" s="28" t="n">
        <x:v>0</x:v>
      </x:c>
      <x:c r="F164" s="28" t="str">
        <x:v>RB|160</x:v>
      </x:c>
      <x:c r="G164" s="28" t="n">
        <x:f>XLOOKUP(A164,'Assumptions'!$A$12:$A$15,'Assumptions'!$C$12:$C$15)</x:f>
        <x:v>124.5</x:v>
      </x:c>
      <x:c r="H164" s="28" t="n">
        <x:f>E164-G164</x:f>
        <x:v>-124.5</x:v>
      </x:c>
      <x:c r="I164" s="29" t="n">
        <x:v>0</x:v>
      </x:c>
      <x:c r="J164" s="28" t="n">
        <x:f>H164+I164</x:f>
        <x:v>-124.5</x:v>
      </x:c>
      <x:c r="K164" s="26" t="str">
        <x:v>Projection-only v1.0</x:v>
      </x:c>
      <x:c r="L164" s="26" t="n">
        <x:f>RANK.EQ(J164,$J$5:$J$619,0)</x:f>
        <x:v>487</x:v>
      </x:c>
      <x:c r="M164" s="26" t="str">
        <x:f>IF(I164=0,"PROJECTION ONLY","EDITORIAL ADJUSTMENT")</x:f>
        <x:v>PROJECTION ONLY</x:v>
      </x:c>
    </x:row>
    <x:row r="165">
      <x:c r="A165" s="26" t="str">
        <x:v>RB</x:v>
      </x:c>
      <x:c r="B165" s="26" t="n">
        <x:v>161</x:v>
      </x:c>
      <x:c r="C165" s="26" t="str">
        <x:v>Patrick Taylor Jr.</x:v>
      </x:c>
      <x:c r="D165" s="26" t="str">
        <x:v>SF</x:v>
      </x:c>
      <x:c r="E165" s="28" t="n">
        <x:v>0</x:v>
      </x:c>
      <x:c r="F165" s="28" t="str">
        <x:v>RB|161</x:v>
      </x:c>
      <x:c r="G165" s="28" t="n">
        <x:f>XLOOKUP(A165,'Assumptions'!$A$12:$A$15,'Assumptions'!$C$12:$C$15)</x:f>
        <x:v>124.5</x:v>
      </x:c>
      <x:c r="H165" s="28" t="n">
        <x:f>E165-G165</x:f>
        <x:v>-124.5</x:v>
      </x:c>
      <x:c r="I165" s="29" t="n">
        <x:v>0</x:v>
      </x:c>
      <x:c r="J165" s="28" t="n">
        <x:f>H165+I165</x:f>
        <x:v>-124.5</x:v>
      </x:c>
      <x:c r="K165" s="26" t="str">
        <x:v>Projection-only v1.0</x:v>
      </x:c>
      <x:c r="L165" s="26" t="n">
        <x:f>RANK.EQ(J165,$J$5:$J$619,0)</x:f>
        <x:v>487</x:v>
      </x:c>
      <x:c r="M165" s="26" t="str">
        <x:f>IF(I165=0,"PROJECTION ONLY","EDITORIAL ADJUSTMENT")</x:f>
        <x:v>PROJECTION ONLY</x:v>
      </x:c>
    </x:row>
    <x:row r="166">
      <x:c r="A166" s="26" t="str">
        <x:v>RB</x:v>
      </x:c>
      <x:c r="B166" s="26" t="n">
        <x:v>162</x:v>
      </x:c>
      <x:c r="C166" s="26" t="str">
        <x:v>Rasheen Ali</x:v>
      </x:c>
      <x:c r="D166" s="26" t="str">
        <x:v>BAL</x:v>
      </x:c>
      <x:c r="E166" s="28" t="n">
        <x:v>0</x:v>
      </x:c>
      <x:c r="F166" s="28" t="str">
        <x:v>RB|162</x:v>
      </x:c>
      <x:c r="G166" s="28" t="n">
        <x:f>XLOOKUP(A166,'Assumptions'!$A$12:$A$15,'Assumptions'!$C$12:$C$15)</x:f>
        <x:v>124.5</x:v>
      </x:c>
      <x:c r="H166" s="28" t="n">
        <x:f>E166-G166</x:f>
        <x:v>-124.5</x:v>
      </x:c>
      <x:c r="I166" s="29" t="n">
        <x:v>0</x:v>
      </x:c>
      <x:c r="J166" s="28" t="n">
        <x:f>H166+I166</x:f>
        <x:v>-124.5</x:v>
      </x:c>
      <x:c r="K166" s="26" t="str">
        <x:v>Projection-only v1.0</x:v>
      </x:c>
      <x:c r="L166" s="26" t="n">
        <x:f>RANK.EQ(J166,$J$5:$J$619,0)</x:f>
        <x:v>487</x:v>
      </x:c>
      <x:c r="M166" s="26" t="str">
        <x:f>IF(I166=0,"PROJECTION ONLY","EDITORIAL ADJUSTMENT")</x:f>
        <x:v>PROJECTION ONLY</x:v>
      </x:c>
    </x:row>
    <x:row r="167">
      <x:c r="A167" s="26" t="str">
        <x:v>RB</x:v>
      </x:c>
      <x:c r="B167" s="26" t="n">
        <x:v>163</x:v>
      </x:c>
      <x:c r="C167" s="26" t="str">
        <x:v>Robbie Ouzts</x:v>
      </x:c>
      <x:c r="D167" s="26" t="str">
        <x:v>SEA</x:v>
      </x:c>
      <x:c r="E167" s="28" t="n">
        <x:v>0</x:v>
      </x:c>
      <x:c r="F167" s="28" t="str">
        <x:v>RB|163</x:v>
      </x:c>
      <x:c r="G167" s="28" t="n">
        <x:f>XLOOKUP(A167,'Assumptions'!$A$12:$A$15,'Assumptions'!$C$12:$C$15)</x:f>
        <x:v>124.5</x:v>
      </x:c>
      <x:c r="H167" s="28" t="n">
        <x:f>E167-G167</x:f>
        <x:v>-124.5</x:v>
      </x:c>
      <x:c r="I167" s="29" t="n">
        <x:v>0</x:v>
      </x:c>
      <x:c r="J167" s="28" t="n">
        <x:f>H167+I167</x:f>
        <x:v>-124.5</x:v>
      </x:c>
      <x:c r="K167" s="26" t="str">
        <x:v>Projection-only v1.0</x:v>
      </x:c>
      <x:c r="L167" s="26" t="n">
        <x:f>RANK.EQ(J167,$J$5:$J$619,0)</x:f>
        <x:v>487</x:v>
      </x:c>
      <x:c r="M167" s="26" t="str">
        <x:f>IF(I167=0,"PROJECTION ONLY","EDITORIAL ADJUSTMENT")</x:f>
        <x:v>PROJECTION ONLY</x:v>
      </x:c>
    </x:row>
    <x:row r="168">
      <x:c r="A168" s="26" t="str">
        <x:v>RB</x:v>
      </x:c>
      <x:c r="B168" s="26" t="n">
        <x:v>164</x:v>
      </x:c>
      <x:c r="C168" s="26" t="str">
        <x:v>Sincere McCormick</x:v>
      </x:c>
      <x:c r="D168" s="26" t="str">
        <x:v>SF</x:v>
      </x:c>
      <x:c r="E168" s="28" t="n">
        <x:v>0</x:v>
      </x:c>
      <x:c r="F168" s="28" t="str">
        <x:v>RB|164</x:v>
      </x:c>
      <x:c r="G168" s="28" t="n">
        <x:f>XLOOKUP(A168,'Assumptions'!$A$12:$A$15,'Assumptions'!$C$12:$C$15)</x:f>
        <x:v>124.5</x:v>
      </x:c>
      <x:c r="H168" s="28" t="n">
        <x:f>E168-G168</x:f>
        <x:v>-124.5</x:v>
      </x:c>
      <x:c r="I168" s="29" t="n">
        <x:v>0</x:v>
      </x:c>
      <x:c r="J168" s="28" t="n">
        <x:f>H168+I168</x:f>
        <x:v>-124.5</x:v>
      </x:c>
      <x:c r="K168" s="26" t="str">
        <x:v>Projection-only v1.0</x:v>
      </x:c>
      <x:c r="L168" s="26" t="n">
        <x:f>RANK.EQ(J168,$J$5:$J$619,0)</x:f>
        <x:v>487</x:v>
      </x:c>
      <x:c r="M168" s="26" t="str">
        <x:f>IF(I168=0,"PROJECTION ONLY","EDITORIAL ADJUSTMENT")</x:f>
        <x:v>PROJECTION ONLY</x:v>
      </x:c>
    </x:row>
    <x:row r="169">
      <x:c r="A169" s="26" t="str">
        <x:v>RB</x:v>
      </x:c>
      <x:c r="B169" s="26" t="n">
        <x:v>165</x:v>
      </x:c>
      <x:c r="C169" s="26" t="str">
        <x:v>Travis Homer</x:v>
      </x:c>
      <x:c r="D169" s="26" t="str">
        <x:v>PIT</x:v>
      </x:c>
      <x:c r="E169" s="28" t="n">
        <x:v>0</x:v>
      </x:c>
      <x:c r="F169" s="28" t="str">
        <x:v>RB|165</x:v>
      </x:c>
      <x:c r="G169" s="28" t="n">
        <x:f>XLOOKUP(A169,'Assumptions'!$A$12:$A$15,'Assumptions'!$C$12:$C$15)</x:f>
        <x:v>124.5</x:v>
      </x:c>
      <x:c r="H169" s="28" t="n">
        <x:f>E169-G169</x:f>
        <x:v>-124.5</x:v>
      </x:c>
      <x:c r="I169" s="29" t="n">
        <x:v>0</x:v>
      </x:c>
      <x:c r="J169" s="28" t="n">
        <x:f>H169+I169</x:f>
        <x:v>-124.5</x:v>
      </x:c>
      <x:c r="K169" s="26" t="str">
        <x:v>Projection-only v1.0</x:v>
      </x:c>
      <x:c r="L169" s="26" t="n">
        <x:f>RANK.EQ(J169,$J$5:$J$619,0)</x:f>
        <x:v>487</x:v>
      </x:c>
      <x:c r="M169" s="26" t="str">
        <x:f>IF(I169=0,"PROJECTION ONLY","EDITORIAL ADJUSTMENT")</x:f>
        <x:v>PROJECTION ONLY</x:v>
      </x:c>
    </x:row>
    <x:row r="170">
      <x:c r="A170" s="26" t="str">
        <x:v>RB</x:v>
      </x:c>
      <x:c r="B170" s="26" t="n">
        <x:v>166</x:v>
      </x:c>
      <x:c r="C170" s="26" t="str">
        <x:v>Trey Benson</x:v>
      </x:c>
      <x:c r="D170" s="26" t="str">
        <x:v>ARI</x:v>
      </x:c>
      <x:c r="E170" s="28" t="n">
        <x:v>0</x:v>
      </x:c>
      <x:c r="F170" s="28" t="str">
        <x:v>RB|166</x:v>
      </x:c>
      <x:c r="G170" s="28" t="n">
        <x:f>XLOOKUP(A170,'Assumptions'!$A$12:$A$15,'Assumptions'!$C$12:$C$15)</x:f>
        <x:v>124.5</x:v>
      </x:c>
      <x:c r="H170" s="28" t="n">
        <x:f>E170-G170</x:f>
        <x:v>-124.5</x:v>
      </x:c>
      <x:c r="I170" s="29" t="n">
        <x:v>0</x:v>
      </x:c>
      <x:c r="J170" s="28" t="n">
        <x:f>H170+I170</x:f>
        <x:v>-124.5</x:v>
      </x:c>
      <x:c r="K170" s="26" t="str">
        <x:v>Projection-only v1.0</x:v>
      </x:c>
      <x:c r="L170" s="26" t="n">
        <x:f>RANK.EQ(J170,$J$5:$J$619,0)</x:f>
        <x:v>487</x:v>
      </x:c>
      <x:c r="M170" s="26" t="str">
        <x:f>IF(I170=0,"PROJECTION ONLY","EDITORIAL ADJUSTMENT")</x:f>
        <x:v>PROJECTION ONLY</x:v>
      </x:c>
    </x:row>
    <x:row r="171">
      <x:c r="A171" s="26" t="str">
        <x:v>RB</x:v>
      </x:c>
      <x:c r="B171" s="26" t="n">
        <x:v>167</x:v>
      </x:c>
      <x:c r="C171" s="26" t="str">
        <x:v>Velus Jones Jr.</x:v>
      </x:c>
      <x:c r="D171" s="26" t="str">
        <x:v>SEA</x:v>
      </x:c>
      <x:c r="E171" s="28" t="n">
        <x:v>0</x:v>
      </x:c>
      <x:c r="F171" s="28" t="str">
        <x:v>RB|167</x:v>
      </x:c>
      <x:c r="G171" s="28" t="n">
        <x:f>XLOOKUP(A171,'Assumptions'!$A$12:$A$15,'Assumptions'!$C$12:$C$15)</x:f>
        <x:v>124.5</x:v>
      </x:c>
      <x:c r="H171" s="28" t="n">
        <x:f>E171-G171</x:f>
        <x:v>-124.5</x:v>
      </x:c>
      <x:c r="I171" s="29" t="n">
        <x:v>0</x:v>
      </x:c>
      <x:c r="J171" s="28" t="n">
        <x:f>H171+I171</x:f>
        <x:v>-124.5</x:v>
      </x:c>
      <x:c r="K171" s="26" t="str">
        <x:v>Projection-only v1.0</x:v>
      </x:c>
      <x:c r="L171" s="26" t="n">
        <x:f>RANK.EQ(J171,$J$5:$J$619,0)</x:f>
        <x:v>487</x:v>
      </x:c>
      <x:c r="M171" s="26" t="str">
        <x:f>IF(I171=0,"PROJECTION ONLY","EDITORIAL ADJUSTMENT")</x:f>
        <x:v>PROJECTION ONLY</x:v>
      </x:c>
    </x:row>
    <x:row r="172">
      <x:c r="A172" s="26" t="str">
        <x:v>RB</x:v>
      </x:c>
      <x:c r="B172" s="26" t="n">
        <x:v>168</x:v>
      </x:c>
      <x:c r="C172" s="26" t="str">
        <x:v>Zavier Scott</x:v>
      </x:c>
      <x:c r="D172" s="26" t="str">
        <x:v>MIN</x:v>
      </x:c>
      <x:c r="E172" s="28" t="n">
        <x:v>0</x:v>
      </x:c>
      <x:c r="F172" s="28" t="str">
        <x:v>RB|168</x:v>
      </x:c>
      <x:c r="G172" s="28" t="n">
        <x:f>XLOOKUP(A172,'Assumptions'!$A$12:$A$15,'Assumptions'!$C$12:$C$15)</x:f>
        <x:v>124.5</x:v>
      </x:c>
      <x:c r="H172" s="28" t="n">
        <x:f>E172-G172</x:f>
        <x:v>-124.5</x:v>
      </x:c>
      <x:c r="I172" s="29" t="n">
        <x:v>0</x:v>
      </x:c>
      <x:c r="J172" s="28" t="n">
        <x:f>H172+I172</x:f>
        <x:v>-124.5</x:v>
      </x:c>
      <x:c r="K172" s="26" t="str">
        <x:v>Projection-only v1.0</x:v>
      </x:c>
      <x:c r="L172" s="26" t="n">
        <x:f>RANK.EQ(J172,$J$5:$J$619,0)</x:f>
        <x:v>487</x:v>
      </x:c>
      <x:c r="M172" s="26" t="str">
        <x:f>IF(I172=0,"PROJECTION ONLY","EDITORIAL ADJUSTMENT")</x:f>
        <x:v>PROJECTION ONLY</x:v>
      </x:c>
    </x:row>
    <x:row r="173">
      <x:c r="A173" s="26" t="str">
        <x:v>WR</x:v>
      </x:c>
      <x:c r="B173" s="26" t="n">
        <x:v>1</x:v>
      </x:c>
      <x:c r="C173" s="26" t="str">
        <x:v>Puka Nacua</x:v>
      </x:c>
      <x:c r="D173" s="26" t="str">
        <x:v>LAR</x:v>
      </x:c>
      <x:c r="E173" s="28" t="n">
        <x:v>283.4</x:v>
      </x:c>
      <x:c r="F173" s="28" t="str">
        <x:v>WR|1</x:v>
      </x:c>
      <x:c r="G173" s="28" t="n">
        <x:f>XLOOKUP(A173,'Assumptions'!$A$12:$A$15,'Assumptions'!$C$12:$C$15)</x:f>
        <x:v>110.6</x:v>
      </x:c>
      <x:c r="H173" s="28" t="n">
        <x:f>E173-G173</x:f>
        <x:v>172.79999999999998</x:v>
      </x:c>
      <x:c r="I173" s="29" t="n">
        <x:v>0</x:v>
      </x:c>
      <x:c r="J173" s="28" t="n">
        <x:f>H173+I173</x:f>
        <x:v>172.79999999999998</x:v>
      </x:c>
      <x:c r="K173" s="26" t="str">
        <x:v>Projection-only v1.0</x:v>
      </x:c>
      <x:c r="L173" s="26" t="n">
        <x:f>RANK.EQ(J173,$J$5:$J$619,0)</x:f>
        <x:v>3</x:v>
      </x:c>
      <x:c r="M173" s="26" t="str">
        <x:f>IF(I173=0,"PROJECTION ONLY","EDITORIAL ADJUSTMENT")</x:f>
        <x:v>PROJECTION ONLY</x:v>
      </x:c>
    </x:row>
    <x:row r="174">
      <x:c r="A174" s="26" t="str">
        <x:v>WR</x:v>
      </x:c>
      <x:c r="B174" s="26" t="n">
        <x:v>2</x:v>
      </x:c>
      <x:c r="C174" s="26" t="str">
        <x:v>Ja'Marr Chase</x:v>
      </x:c>
      <x:c r="D174" s="26" t="str">
        <x:v>CIN</x:v>
      </x:c>
      <x:c r="E174" s="28" t="n">
        <x:v>279.4</x:v>
      </x:c>
      <x:c r="F174" s="28" t="str">
        <x:v>WR|2</x:v>
      </x:c>
      <x:c r="G174" s="28" t="n">
        <x:f>XLOOKUP(A174,'Assumptions'!$A$12:$A$15,'Assumptions'!$C$12:$C$15)</x:f>
        <x:v>110.6</x:v>
      </x:c>
      <x:c r="H174" s="28" t="n">
        <x:f>E174-G174</x:f>
        <x:v>168.79999999999998</x:v>
      </x:c>
      <x:c r="I174" s="29" t="n">
        <x:v>0</x:v>
      </x:c>
      <x:c r="J174" s="28" t="n">
        <x:f>H174+I174</x:f>
        <x:v>168.79999999999998</x:v>
      </x:c>
      <x:c r="K174" s="26" t="str">
        <x:v>Projection-only v1.0</x:v>
      </x:c>
      <x:c r="L174" s="26" t="n">
        <x:f>RANK.EQ(J174,$J$5:$J$619,0)</x:f>
        <x:v>4</x:v>
      </x:c>
      <x:c r="M174" s="26" t="str">
        <x:f>IF(I174=0,"PROJECTION ONLY","EDITORIAL ADJUSTMENT")</x:f>
        <x:v>PROJECTION ONLY</x:v>
      </x:c>
    </x:row>
    <x:row r="175">
      <x:c r="A175" s="26" t="str">
        <x:v>WR</x:v>
      </x:c>
      <x:c r="B175" s="26" t="n">
        <x:v>3</x:v>
      </x:c>
      <x:c r="C175" s="26" t="str">
        <x:v>Jaxon Smith-Njigba</x:v>
      </x:c>
      <x:c r="D175" s="26" t="str">
        <x:v>SEA</x:v>
      </x:c>
      <x:c r="E175" s="28" t="n">
        <x:v>263.7</x:v>
      </x:c>
      <x:c r="F175" s="28" t="str">
        <x:v>WR|3</x:v>
      </x:c>
      <x:c r="G175" s="28" t="n">
        <x:f>XLOOKUP(A175,'Assumptions'!$A$12:$A$15,'Assumptions'!$C$12:$C$15)</x:f>
        <x:v>110.6</x:v>
      </x:c>
      <x:c r="H175" s="28" t="n">
        <x:f>E175-G175</x:f>
        <x:v>153.1</x:v>
      </x:c>
      <x:c r="I175" s="29" t="n">
        <x:v>0</x:v>
      </x:c>
      <x:c r="J175" s="28" t="n">
        <x:f>H175+I175</x:f>
        <x:v>153.1</x:v>
      </x:c>
      <x:c r="K175" s="26" t="str">
        <x:v>Projection-only v1.0</x:v>
      </x:c>
      <x:c r="L175" s="26" t="n">
        <x:f>RANK.EQ(J175,$J$5:$J$619,0)</x:f>
        <x:v>7</x:v>
      </x:c>
      <x:c r="M175" s="26" t="str">
        <x:f>IF(I175=0,"PROJECTION ONLY","EDITORIAL ADJUSTMENT")</x:f>
        <x:v>PROJECTION ONLY</x:v>
      </x:c>
    </x:row>
    <x:row r="176">
      <x:c r="A176" s="26" t="str">
        <x:v>WR</x:v>
      </x:c>
      <x:c r="B176" s="26" t="n">
        <x:v>4</x:v>
      </x:c>
      <x:c r="C176" s="26" t="str">
        <x:v>Amon-Ra St. Brown</x:v>
      </x:c>
      <x:c r="D176" s="26" t="str">
        <x:v>DET</x:v>
      </x:c>
      <x:c r="E176" s="28" t="n">
        <x:v>255.8</x:v>
      </x:c>
      <x:c r="F176" s="28" t="str">
        <x:v>WR|4</x:v>
      </x:c>
      <x:c r="G176" s="28" t="n">
        <x:f>XLOOKUP(A176,'Assumptions'!$A$12:$A$15,'Assumptions'!$C$12:$C$15)</x:f>
        <x:v>110.6</x:v>
      </x:c>
      <x:c r="H176" s="28" t="n">
        <x:f>E176-G176</x:f>
        <x:v>145.20000000000002</x:v>
      </x:c>
      <x:c r="I176" s="29" t="n">
        <x:v>0</x:v>
      </x:c>
      <x:c r="J176" s="28" t="n">
        <x:f>H176+I176</x:f>
        <x:v>145.20000000000002</x:v>
      </x:c>
      <x:c r="K176" s="26" t="str">
        <x:v>Projection-only v1.0</x:v>
      </x:c>
      <x:c r="L176" s="26" t="n">
        <x:f>RANK.EQ(J176,$J$5:$J$619,0)</x:f>
        <x:v>8</x:v>
      </x:c>
      <x:c r="M176" s="26" t="str">
        <x:f>IF(I176=0,"PROJECTION ONLY","EDITORIAL ADJUSTMENT")</x:f>
        <x:v>PROJECTION ONLY</x:v>
      </x:c>
    </x:row>
    <x:row r="177">
      <x:c r="A177" s="26" t="str">
        <x:v>WR</x:v>
      </x:c>
      <x:c r="B177" s="26" t="n">
        <x:v>5</x:v>
      </x:c>
      <x:c r="C177" s="26" t="str">
        <x:v>Justin Jefferson</x:v>
      </x:c>
      <x:c r="D177" s="26" t="str">
        <x:v>MIN</x:v>
      </x:c>
      <x:c r="E177" s="28" t="n">
        <x:v>231</x:v>
      </x:c>
      <x:c r="F177" s="28" t="str">
        <x:v>WR|5</x:v>
      </x:c>
      <x:c r="G177" s="28" t="n">
        <x:f>XLOOKUP(A177,'Assumptions'!$A$12:$A$15,'Assumptions'!$C$12:$C$15)</x:f>
        <x:v>110.6</x:v>
      </x:c>
      <x:c r="H177" s="28" t="n">
        <x:f>E177-G177</x:f>
        <x:v>120.4</x:v>
      </x:c>
      <x:c r="I177" s="29" t="n">
        <x:v>0</x:v>
      </x:c>
      <x:c r="J177" s="28" t="n">
        <x:f>H177+I177</x:f>
        <x:v>120.4</x:v>
      </x:c>
      <x:c r="K177" s="26" t="str">
        <x:v>Projection-only v1.0</x:v>
      </x:c>
      <x:c r="L177" s="26" t="n">
        <x:f>RANK.EQ(J177,$J$5:$J$619,0)</x:f>
        <x:v>16</x:v>
      </x:c>
      <x:c r="M177" s="26" t="str">
        <x:f>IF(I177=0,"PROJECTION ONLY","EDITORIAL ADJUSTMENT")</x:f>
        <x:v>PROJECTION ONLY</x:v>
      </x:c>
    </x:row>
    <x:row r="178">
      <x:c r="A178" s="26" t="str">
        <x:v>WR</x:v>
      </x:c>
      <x:c r="B178" s="26" t="n">
        <x:v>6</x:v>
      </x:c>
      <x:c r="C178" s="26" t="str">
        <x:v>CeeDee Lamb</x:v>
      </x:c>
      <x:c r="D178" s="26" t="str">
        <x:v>DAL</x:v>
      </x:c>
      <x:c r="E178" s="28" t="n">
        <x:v>223.6</x:v>
      </x:c>
      <x:c r="F178" s="28" t="str">
        <x:v>WR|6</x:v>
      </x:c>
      <x:c r="G178" s="28" t="n">
        <x:f>XLOOKUP(A178,'Assumptions'!$A$12:$A$15,'Assumptions'!$C$12:$C$15)</x:f>
        <x:v>110.6</x:v>
      </x:c>
      <x:c r="H178" s="28" t="n">
        <x:f>E178-G178</x:f>
        <x:v>113</x:v>
      </x:c>
      <x:c r="I178" s="29" t="n">
        <x:v>0</x:v>
      </x:c>
      <x:c r="J178" s="28" t="n">
        <x:f>H178+I178</x:f>
        <x:v>113</x:v>
      </x:c>
      <x:c r="K178" s="26" t="str">
        <x:v>Projection-only v1.0</x:v>
      </x:c>
      <x:c r="L178" s="26" t="n">
        <x:f>RANK.EQ(J178,$J$5:$J$619,0)</x:f>
        <x:v>18</x:v>
      </x:c>
      <x:c r="M178" s="26" t="str">
        <x:f>IF(I178=0,"PROJECTION ONLY","EDITORIAL ADJUSTMENT")</x:f>
        <x:v>PROJECTION ONLY</x:v>
      </x:c>
    </x:row>
    <x:row r="179">
      <x:c r="A179" s="26" t="str">
        <x:v>WR</x:v>
      </x:c>
      <x:c r="B179" s="26" t="n">
        <x:v>7</x:v>
      </x:c>
      <x:c r="C179" s="26" t="str">
        <x:v>Drake London</x:v>
      </x:c>
      <x:c r="D179" s="26" t="str">
        <x:v>ATL</x:v>
      </x:c>
      <x:c r="E179" s="28" t="n">
        <x:v>222.5</x:v>
      </x:c>
      <x:c r="F179" s="28" t="str">
        <x:v>WR|7</x:v>
      </x:c>
      <x:c r="G179" s="28" t="n">
        <x:f>XLOOKUP(A179,'Assumptions'!$A$12:$A$15,'Assumptions'!$C$12:$C$15)</x:f>
        <x:v>110.6</x:v>
      </x:c>
      <x:c r="H179" s="28" t="n">
        <x:f>E179-G179</x:f>
        <x:v>111.9</x:v>
      </x:c>
      <x:c r="I179" s="29" t="n">
        <x:v>0</x:v>
      </x:c>
      <x:c r="J179" s="28" t="n">
        <x:f>H179+I179</x:f>
        <x:v>111.9</x:v>
      </x:c>
      <x:c r="K179" s="26" t="str">
        <x:v>Projection-only v1.0</x:v>
      </x:c>
      <x:c r="L179" s="26" t="n">
        <x:f>RANK.EQ(J179,$J$5:$J$619,0)</x:f>
        <x:v>19</x:v>
      </x:c>
      <x:c r="M179" s="26" t="str">
        <x:f>IF(I179=0,"PROJECTION ONLY","EDITORIAL ADJUSTMENT")</x:f>
        <x:v>PROJECTION ONLY</x:v>
      </x:c>
    </x:row>
    <x:row r="180">
      <x:c r="A180" s="26" t="str">
        <x:v>WR</x:v>
      </x:c>
      <x:c r="B180" s="26" t="n">
        <x:v>8</x:v>
      </x:c>
      <x:c r="C180" s="26" t="str">
        <x:v>Rashee Rice</x:v>
      </x:c>
      <x:c r="D180" s="26" t="str">
        <x:v>KC</x:v>
      </x:c>
      <x:c r="E180" s="28" t="n">
        <x:v>215.5</x:v>
      </x:c>
      <x:c r="F180" s="28" t="str">
        <x:v>WR|8</x:v>
      </x:c>
      <x:c r="G180" s="28" t="n">
        <x:f>XLOOKUP(A180,'Assumptions'!$A$12:$A$15,'Assumptions'!$C$12:$C$15)</x:f>
        <x:v>110.6</x:v>
      </x:c>
      <x:c r="H180" s="28" t="n">
        <x:f>E180-G180</x:f>
        <x:v>104.9</x:v>
      </x:c>
      <x:c r="I180" s="29" t="n">
        <x:v>0</x:v>
      </x:c>
      <x:c r="J180" s="28" t="n">
        <x:f>H180+I180</x:f>
        <x:v>104.9</x:v>
      </x:c>
      <x:c r="K180" s="26" t="str">
        <x:v>Projection-only v1.0</x:v>
      </x:c>
      <x:c r="L180" s="26" t="n">
        <x:f>RANK.EQ(J180,$J$5:$J$619,0)</x:f>
        <x:v>22</x:v>
      </x:c>
      <x:c r="M180" s="26" t="str">
        <x:f>IF(I180=0,"PROJECTION ONLY","EDITORIAL ADJUSTMENT")</x:f>
        <x:v>PROJECTION ONLY</x:v>
      </x:c>
    </x:row>
    <x:row r="181">
      <x:c r="A181" s="26" t="str">
        <x:v>WR</x:v>
      </x:c>
      <x:c r="B181" s="26" t="n">
        <x:v>9</x:v>
      </x:c>
      <x:c r="C181" s="26" t="str">
        <x:v>Chris Olave</x:v>
      </x:c>
      <x:c r="D181" s="26" t="str">
        <x:v>NO</x:v>
      </x:c>
      <x:c r="E181" s="28" t="n">
        <x:v>209.3</x:v>
      </x:c>
      <x:c r="F181" s="28" t="str">
        <x:v>WR|9</x:v>
      </x:c>
      <x:c r="G181" s="28" t="n">
        <x:f>XLOOKUP(A181,'Assumptions'!$A$12:$A$15,'Assumptions'!$C$12:$C$15)</x:f>
        <x:v>110.6</x:v>
      </x:c>
      <x:c r="H181" s="28" t="n">
        <x:f>E181-G181</x:f>
        <x:v>98.70000000000002</x:v>
      </x:c>
      <x:c r="I181" s="29" t="n">
        <x:v>0</x:v>
      </x:c>
      <x:c r="J181" s="28" t="n">
        <x:f>H181+I181</x:f>
        <x:v>98.70000000000002</x:v>
      </x:c>
      <x:c r="K181" s="26" t="str">
        <x:v>Projection-only v1.0</x:v>
      </x:c>
      <x:c r="L181" s="26" t="n">
        <x:f>RANK.EQ(J181,$J$5:$J$619,0)</x:f>
        <x:v>25</x:v>
      </x:c>
      <x:c r="M181" s="26" t="str">
        <x:f>IF(I181=0,"PROJECTION ONLY","EDITORIAL ADJUSTMENT")</x:f>
        <x:v>PROJECTION ONLY</x:v>
      </x:c>
    </x:row>
    <x:row r="182">
      <x:c r="A182" s="26" t="str">
        <x:v>WR</x:v>
      </x:c>
      <x:c r="B182" s="26" t="n">
        <x:v>10</x:v>
      </x:c>
      <x:c r="C182" s="26" t="str">
        <x:v>A.J. Brown</x:v>
      </x:c>
      <x:c r="D182" s="26" t="str">
        <x:v>NE</x:v>
      </x:c>
      <x:c r="E182" s="28" t="n">
        <x:v>209.7</x:v>
      </x:c>
      <x:c r="F182" s="28" t="str">
        <x:v>WR|10</x:v>
      </x:c>
      <x:c r="G182" s="28" t="n">
        <x:f>XLOOKUP(A182,'Assumptions'!$A$12:$A$15,'Assumptions'!$C$12:$C$15)</x:f>
        <x:v>110.6</x:v>
      </x:c>
      <x:c r="H182" s="28" t="n">
        <x:f>E182-G182</x:f>
        <x:v>99.1</x:v>
      </x:c>
      <x:c r="I182" s="29" t="n">
        <x:v>0</x:v>
      </x:c>
      <x:c r="J182" s="28" t="n">
        <x:f>H182+I182</x:f>
        <x:v>99.1</x:v>
      </x:c>
      <x:c r="K182" s="26" t="str">
        <x:v>Projection-only v1.0</x:v>
      </x:c>
      <x:c r="L182" s="26" t="n">
        <x:f>RANK.EQ(J182,$J$5:$J$619,0)</x:f>
        <x:v>24</x:v>
      </x:c>
      <x:c r="M182" s="26" t="str">
        <x:f>IF(I182=0,"PROJECTION ONLY","EDITORIAL ADJUSTMENT")</x:f>
        <x:v>PROJECTION ONLY</x:v>
      </x:c>
    </x:row>
    <x:row r="183">
      <x:c r="A183" s="26" t="str">
        <x:v>WR</x:v>
      </x:c>
      <x:c r="B183" s="26" t="n">
        <x:v>11</x:v>
      </x:c>
      <x:c r="C183" s="26" t="str">
        <x:v>Nico Collins</x:v>
      </x:c>
      <x:c r="D183" s="26" t="str">
        <x:v>HOU</x:v>
      </x:c>
      <x:c r="E183" s="28" t="n">
        <x:v>206.7</x:v>
      </x:c>
      <x:c r="F183" s="28" t="str">
        <x:v>WR|11</x:v>
      </x:c>
      <x:c r="G183" s="28" t="n">
        <x:f>XLOOKUP(A183,'Assumptions'!$A$12:$A$15,'Assumptions'!$C$12:$C$15)</x:f>
        <x:v>110.6</x:v>
      </x:c>
      <x:c r="H183" s="28" t="n">
        <x:f>E183-G183</x:f>
        <x:v>96.1</x:v>
      </x:c>
      <x:c r="I183" s="29" t="n">
        <x:v>0</x:v>
      </x:c>
      <x:c r="J183" s="28" t="n">
        <x:f>H183+I183</x:f>
        <x:v>96.1</x:v>
      </x:c>
      <x:c r="K183" s="26" t="str">
        <x:v>Projection-only v1.0</x:v>
      </x:c>
      <x:c r="L183" s="26" t="n">
        <x:f>RANK.EQ(J183,$J$5:$J$619,0)</x:f>
        <x:v>26</x:v>
      </x:c>
      <x:c r="M183" s="26" t="str">
        <x:f>IF(I183=0,"PROJECTION ONLY","EDITORIAL ADJUSTMENT")</x:f>
        <x:v>PROJECTION ONLY</x:v>
      </x:c>
    </x:row>
    <x:row r="184">
      <x:c r="A184" s="26" t="str">
        <x:v>WR</x:v>
      </x:c>
      <x:c r="B184" s="26" t="n">
        <x:v>12</x:v>
      </x:c>
      <x:c r="C184" s="26" t="str">
        <x:v>George Pickens</x:v>
      </x:c>
      <x:c r="D184" s="26" t="str">
        <x:v>DAL</x:v>
      </x:c>
      <x:c r="E184" s="28" t="n">
        <x:v>205.6</x:v>
      </x:c>
      <x:c r="F184" s="28" t="str">
        <x:v>WR|12</x:v>
      </x:c>
      <x:c r="G184" s="28" t="n">
        <x:f>XLOOKUP(A184,'Assumptions'!$A$12:$A$15,'Assumptions'!$C$12:$C$15)</x:f>
        <x:v>110.6</x:v>
      </x:c>
      <x:c r="H184" s="28" t="n">
        <x:f>E184-G184</x:f>
        <x:v>95</x:v>
      </x:c>
      <x:c r="I184" s="29" t="n">
        <x:v>0</x:v>
      </x:c>
      <x:c r="J184" s="28" t="n">
        <x:f>H184+I184</x:f>
        <x:v>95</x:v>
      </x:c>
      <x:c r="K184" s="26" t="str">
        <x:v>Projection-only v1.0</x:v>
      </x:c>
      <x:c r="L184" s="26" t="n">
        <x:f>RANK.EQ(J184,$J$5:$J$619,0)</x:f>
        <x:v>27</x:v>
      </x:c>
      <x:c r="M184" s="26" t="str">
        <x:f>IF(I184=0,"PROJECTION ONLY","EDITORIAL ADJUSTMENT")</x:f>
        <x:v>PROJECTION ONLY</x:v>
      </x:c>
    </x:row>
    <x:row r="185">
      <x:c r="A185" s="26" t="str">
        <x:v>WR</x:v>
      </x:c>
      <x:c r="B185" s="26" t="n">
        <x:v>13</x:v>
      </x:c>
      <x:c r="C185" s="26" t="str">
        <x:v>Zay Flowers</x:v>
      </x:c>
      <x:c r="D185" s="26" t="str">
        <x:v>BAL</x:v>
      </x:c>
      <x:c r="E185" s="28" t="n">
        <x:v>202.1</x:v>
      </x:c>
      <x:c r="F185" s="28" t="str">
        <x:v>WR|13</x:v>
      </x:c>
      <x:c r="G185" s="28" t="n">
        <x:f>XLOOKUP(A185,'Assumptions'!$A$12:$A$15,'Assumptions'!$C$12:$C$15)</x:f>
        <x:v>110.6</x:v>
      </x:c>
      <x:c r="H185" s="28" t="n">
        <x:f>E185-G185</x:f>
        <x:v>91.5</x:v>
      </x:c>
      <x:c r="I185" s="29" t="n">
        <x:v>0</x:v>
      </x:c>
      <x:c r="J185" s="28" t="n">
        <x:f>H185+I185</x:f>
        <x:v>91.5</x:v>
      </x:c>
      <x:c r="K185" s="26" t="str">
        <x:v>Projection-only v1.0</x:v>
      </x:c>
      <x:c r="L185" s="26" t="n">
        <x:f>RANK.EQ(J185,$J$5:$J$619,0)</x:f>
        <x:v>28</x:v>
      </x:c>
      <x:c r="M185" s="26" t="str">
        <x:f>IF(I185=0,"PROJECTION ONLY","EDITORIAL ADJUSTMENT")</x:f>
        <x:v>PROJECTION ONLY</x:v>
      </x:c>
    </x:row>
    <x:row r="186">
      <x:c r="A186" s="26" t="str">
        <x:v>WR</x:v>
      </x:c>
      <x:c r="B186" s="26" t="n">
        <x:v>14</x:v>
      </x:c>
      <x:c r="C186" s="26" t="str">
        <x:v>Rome Odunze</x:v>
      </x:c>
      <x:c r="D186" s="26" t="str">
        <x:v>CHI</x:v>
      </x:c>
      <x:c r="E186" s="28" t="n">
        <x:v>190.9</x:v>
      </x:c>
      <x:c r="F186" s="28" t="str">
        <x:v>WR|14</x:v>
      </x:c>
      <x:c r="G186" s="28" t="n">
        <x:f>XLOOKUP(A186,'Assumptions'!$A$12:$A$15,'Assumptions'!$C$12:$C$15)</x:f>
        <x:v>110.6</x:v>
      </x:c>
      <x:c r="H186" s="28" t="n">
        <x:f>E186-G186</x:f>
        <x:v>80.30000000000001</x:v>
      </x:c>
      <x:c r="I186" s="29" t="n">
        <x:v>0</x:v>
      </x:c>
      <x:c r="J186" s="28" t="n">
        <x:f>H186+I186</x:f>
        <x:v>80.30000000000001</x:v>
      </x:c>
      <x:c r="K186" s="26" t="str">
        <x:v>Projection-only v1.0</x:v>
      </x:c>
      <x:c r="L186" s="26" t="n">
        <x:f>RANK.EQ(J186,$J$5:$J$619,0)</x:f>
        <x:v>31</x:v>
      </x:c>
      <x:c r="M186" s="26" t="str">
        <x:f>IF(I186=0,"PROJECTION ONLY","EDITORIAL ADJUSTMENT")</x:f>
        <x:v>PROJECTION ONLY</x:v>
      </x:c>
    </x:row>
    <x:row r="187">
      <x:c r="A187" s="26" t="str">
        <x:v>WR</x:v>
      </x:c>
      <x:c r="B187" s="26" t="n">
        <x:v>15</x:v>
      </x:c>
      <x:c r="C187" s="26" t="str">
        <x:v>DeVonta Smith</x:v>
      </x:c>
      <x:c r="D187" s="26" t="str">
        <x:v>PHI</x:v>
      </x:c>
      <x:c r="E187" s="28" t="n">
        <x:v>184.3</x:v>
      </x:c>
      <x:c r="F187" s="28" t="str">
        <x:v>WR|15</x:v>
      </x:c>
      <x:c r="G187" s="28" t="n">
        <x:f>XLOOKUP(A187,'Assumptions'!$A$12:$A$15,'Assumptions'!$C$12:$C$15)</x:f>
        <x:v>110.6</x:v>
      </x:c>
      <x:c r="H187" s="28" t="n">
        <x:f>E187-G187</x:f>
        <x:v>73.70000000000002</x:v>
      </x:c>
      <x:c r="I187" s="29" t="n">
        <x:v>0</x:v>
      </x:c>
      <x:c r="J187" s="28" t="n">
        <x:f>H187+I187</x:f>
        <x:v>73.70000000000002</x:v>
      </x:c>
      <x:c r="K187" s="26" t="str">
        <x:v>Projection-only v1.0</x:v>
      </x:c>
      <x:c r="L187" s="26" t="n">
        <x:f>RANK.EQ(J187,$J$5:$J$619,0)</x:f>
        <x:v>34</x:v>
      </x:c>
      <x:c r="M187" s="26" t="str">
        <x:f>IF(I187=0,"PROJECTION ONLY","EDITORIAL ADJUSTMENT")</x:f>
        <x:v>PROJECTION ONLY</x:v>
      </x:c>
    </x:row>
    <x:row r="188">
      <x:c r="A188" s="26" t="str">
        <x:v>WR</x:v>
      </x:c>
      <x:c r="B188" s="26" t="n">
        <x:v>16</x:v>
      </x:c>
      <x:c r="C188" s="26" t="str">
        <x:v>Garrett Wilson</x:v>
      </x:c>
      <x:c r="D188" s="26" t="str">
        <x:v>NYJ</x:v>
      </x:c>
      <x:c r="E188" s="28" t="n">
        <x:v>180.3</x:v>
      </x:c>
      <x:c r="F188" s="28" t="str">
        <x:v>WR|16</x:v>
      </x:c>
      <x:c r="G188" s="28" t="n">
        <x:f>XLOOKUP(A188,'Assumptions'!$A$12:$A$15,'Assumptions'!$C$12:$C$15)</x:f>
        <x:v>110.6</x:v>
      </x:c>
      <x:c r="H188" s="28" t="n">
        <x:f>E188-G188</x:f>
        <x:v>69.70000000000002</x:v>
      </x:c>
      <x:c r="I188" s="29" t="n">
        <x:v>0</x:v>
      </x:c>
      <x:c r="J188" s="28" t="n">
        <x:f>H188+I188</x:f>
        <x:v>69.70000000000002</x:v>
      </x:c>
      <x:c r="K188" s="26" t="str">
        <x:v>Projection-only v1.0</x:v>
      </x:c>
      <x:c r="L188" s="26" t="n">
        <x:f>RANK.EQ(J188,$J$5:$J$619,0)</x:f>
        <x:v>37</x:v>
      </x:c>
      <x:c r="M188" s="26" t="str">
        <x:f>IF(I188=0,"PROJECTION ONLY","EDITORIAL ADJUSTMENT")</x:f>
        <x:v>PROJECTION ONLY</x:v>
      </x:c>
    </x:row>
    <x:row r="189">
      <x:c r="A189" s="26" t="str">
        <x:v>WR</x:v>
      </x:c>
      <x:c r="B189" s="26" t="n">
        <x:v>17</x:v>
      </x:c>
      <x:c r="C189" s="26" t="str">
        <x:v>Tee Higgins</x:v>
      </x:c>
      <x:c r="D189" s="26" t="str">
        <x:v>CIN</x:v>
      </x:c>
      <x:c r="E189" s="28" t="n">
        <x:v>184.7</x:v>
      </x:c>
      <x:c r="F189" s="28" t="str">
        <x:v>WR|17</x:v>
      </x:c>
      <x:c r="G189" s="28" t="n">
        <x:f>XLOOKUP(A189,'Assumptions'!$A$12:$A$15,'Assumptions'!$C$12:$C$15)</x:f>
        <x:v>110.6</x:v>
      </x:c>
      <x:c r="H189" s="28" t="n">
        <x:f>E189-G189</x:f>
        <x:v>74.1</x:v>
      </x:c>
      <x:c r="I189" s="29" t="n">
        <x:v>0</x:v>
      </x:c>
      <x:c r="J189" s="28" t="n">
        <x:f>H189+I189</x:f>
        <x:v>74.1</x:v>
      </x:c>
      <x:c r="K189" s="26" t="str">
        <x:v>Projection-only v1.0</x:v>
      </x:c>
      <x:c r="L189" s="26" t="n">
        <x:f>RANK.EQ(J189,$J$5:$J$619,0)</x:f>
        <x:v>33</x:v>
      </x:c>
      <x:c r="M189" s="26" t="str">
        <x:f>IF(I189=0,"PROJECTION ONLY","EDITORIAL ADJUSTMENT")</x:f>
        <x:v>PROJECTION ONLY</x:v>
      </x:c>
    </x:row>
    <x:row r="190">
      <x:c r="A190" s="26" t="str">
        <x:v>WR</x:v>
      </x:c>
      <x:c r="B190" s="26" t="n">
        <x:v>18</x:v>
      </x:c>
      <x:c r="C190" s="26" t="str">
        <x:v>Marvin Harrison Jr.</x:v>
      </x:c>
      <x:c r="D190" s="26" t="str">
        <x:v>ARI</x:v>
      </x:c>
      <x:c r="E190" s="28" t="n">
        <x:v>180.6</x:v>
      </x:c>
      <x:c r="F190" s="28" t="str">
        <x:v>WR|18</x:v>
      </x:c>
      <x:c r="G190" s="28" t="n">
        <x:f>XLOOKUP(A190,'Assumptions'!$A$12:$A$15,'Assumptions'!$C$12:$C$15)</x:f>
        <x:v>110.6</x:v>
      </x:c>
      <x:c r="H190" s="28" t="n">
        <x:f>E190-G190</x:f>
        <x:v>70</x:v>
      </x:c>
      <x:c r="I190" s="29" t="n">
        <x:v>0</x:v>
      </x:c>
      <x:c r="J190" s="28" t="n">
        <x:f>H190+I190</x:f>
        <x:v>70</x:v>
      </x:c>
      <x:c r="K190" s="26" t="str">
        <x:v>Projection-only v1.0</x:v>
      </x:c>
      <x:c r="L190" s="26" t="n">
        <x:f>RANK.EQ(J190,$J$5:$J$619,0)</x:f>
        <x:v>36</x:v>
      </x:c>
      <x:c r="M190" s="26" t="str">
        <x:f>IF(I190=0,"PROJECTION ONLY","EDITORIAL ADJUSTMENT")</x:f>
        <x:v>PROJECTION ONLY</x:v>
      </x:c>
    </x:row>
    <x:row r="191">
      <x:c r="A191" s="26" t="str">
        <x:v>WR</x:v>
      </x:c>
      <x:c r="B191" s="26" t="n">
        <x:v>19</x:v>
      </x:c>
      <x:c r="C191" s="26" t="str">
        <x:v>Tetairoa McMillan</x:v>
      </x:c>
      <x:c r="D191" s="26" t="str">
        <x:v>CAR</x:v>
      </x:c>
      <x:c r="E191" s="28" t="n">
        <x:v>178.8</x:v>
      </x:c>
      <x:c r="F191" s="28" t="str">
        <x:v>WR|19</x:v>
      </x:c>
      <x:c r="G191" s="28" t="n">
        <x:f>XLOOKUP(A191,'Assumptions'!$A$12:$A$15,'Assumptions'!$C$12:$C$15)</x:f>
        <x:v>110.6</x:v>
      </x:c>
      <x:c r="H191" s="28" t="n">
        <x:f>E191-G191</x:f>
        <x:v>68.20000000000002</x:v>
      </x:c>
      <x:c r="I191" s="29" t="n">
        <x:v>0</x:v>
      </x:c>
      <x:c r="J191" s="28" t="n">
        <x:f>H191+I191</x:f>
        <x:v>68.20000000000002</x:v>
      </x:c>
      <x:c r="K191" s="26" t="str">
        <x:v>Projection-only v1.0</x:v>
      </x:c>
      <x:c r="L191" s="26" t="n">
        <x:f>RANK.EQ(J191,$J$5:$J$619,0)</x:f>
        <x:v>38</x:v>
      </x:c>
      <x:c r="M191" s="26" t="str">
        <x:f>IF(I191=0,"PROJECTION ONLY","EDITORIAL ADJUSTMENT")</x:f>
        <x:v>PROJECTION ONLY</x:v>
      </x:c>
    </x:row>
    <x:row r="192">
      <x:c r="A192" s="26" t="str">
        <x:v>WR</x:v>
      </x:c>
      <x:c r="B192" s="26" t="n">
        <x:v>20</x:v>
      </x:c>
      <x:c r="C192" s="26" t="str">
        <x:v>Emeka Egbuka</x:v>
      </x:c>
      <x:c r="D192" s="26" t="str">
        <x:v>TB</x:v>
      </x:c>
      <x:c r="E192" s="28" t="n">
        <x:v>177.5</x:v>
      </x:c>
      <x:c r="F192" s="28" t="str">
        <x:v>WR|20</x:v>
      </x:c>
      <x:c r="G192" s="28" t="n">
        <x:f>XLOOKUP(A192,'Assumptions'!$A$12:$A$15,'Assumptions'!$C$12:$C$15)</x:f>
        <x:v>110.6</x:v>
      </x:c>
      <x:c r="H192" s="28" t="n">
        <x:f>E192-G192</x:f>
        <x:v>66.9</x:v>
      </x:c>
      <x:c r="I192" s="29" t="n">
        <x:v>0</x:v>
      </x:c>
      <x:c r="J192" s="28" t="n">
        <x:f>H192+I192</x:f>
        <x:v>66.9</x:v>
      </x:c>
      <x:c r="K192" s="26" t="str">
        <x:v>Projection-only v1.0</x:v>
      </x:c>
      <x:c r="L192" s="26" t="n">
        <x:f>RANK.EQ(J192,$J$5:$J$619,0)</x:f>
        <x:v>39</x:v>
      </x:c>
      <x:c r="M192" s="26" t="str">
        <x:f>IF(I192=0,"PROJECTION ONLY","EDITORIAL ADJUSTMENT")</x:f>
        <x:v>PROJECTION ONLY</x:v>
      </x:c>
    </x:row>
    <x:row r="193">
      <x:c r="A193" s="26" t="str">
        <x:v>WR</x:v>
      </x:c>
      <x:c r="B193" s="26" t="n">
        <x:v>21</x:v>
      </x:c>
      <x:c r="C193" s="26" t="str">
        <x:v>Luther Burden III</x:v>
      </x:c>
      <x:c r="D193" s="26" t="str">
        <x:v>CHI</x:v>
      </x:c>
      <x:c r="E193" s="28" t="n">
        <x:v>173.4</x:v>
      </x:c>
      <x:c r="F193" s="28" t="str">
        <x:v>WR|21</x:v>
      </x:c>
      <x:c r="G193" s="28" t="n">
        <x:f>XLOOKUP(A193,'Assumptions'!$A$12:$A$15,'Assumptions'!$C$12:$C$15)</x:f>
        <x:v>110.6</x:v>
      </x:c>
      <x:c r="H193" s="28" t="n">
        <x:f>E193-G193</x:f>
        <x:v>62.80000000000001</x:v>
      </x:c>
      <x:c r="I193" s="29" t="n">
        <x:v>0</x:v>
      </x:c>
      <x:c r="J193" s="28" t="n">
        <x:f>H193+I193</x:f>
        <x:v>62.80000000000001</x:v>
      </x:c>
      <x:c r="K193" s="26" t="str">
        <x:v>Projection-only v1.0</x:v>
      </x:c>
      <x:c r="L193" s="26" t="n">
        <x:f>RANK.EQ(J193,$J$5:$J$619,0)</x:f>
        <x:v>43</x:v>
      </x:c>
      <x:c r="M193" s="26" t="str">
        <x:f>IF(I193=0,"PROJECTION ONLY","EDITORIAL ADJUSTMENT")</x:f>
        <x:v>PROJECTION ONLY</x:v>
      </x:c>
    </x:row>
    <x:row r="194">
      <x:c r="A194" s="26" t="str">
        <x:v>WR</x:v>
      </x:c>
      <x:c r="B194" s="26" t="n">
        <x:v>22</x:v>
      </x:c>
      <x:c r="C194" s="26" t="str">
        <x:v>DJ Moore</x:v>
      </x:c>
      <x:c r="D194" s="26" t="str">
        <x:v>BUF</x:v>
      </x:c>
      <x:c r="E194" s="28" t="n">
        <x:v>173.8</x:v>
      </x:c>
      <x:c r="F194" s="28" t="str">
        <x:v>WR|22</x:v>
      </x:c>
      <x:c r="G194" s="28" t="n">
        <x:f>XLOOKUP(A194,'Assumptions'!$A$12:$A$15,'Assumptions'!$C$12:$C$15)</x:f>
        <x:v>110.6</x:v>
      </x:c>
      <x:c r="H194" s="28" t="n">
        <x:f>E194-G194</x:f>
        <x:v>63.20000000000002</x:v>
      </x:c>
      <x:c r="I194" s="29" t="n">
        <x:v>0</x:v>
      </x:c>
      <x:c r="J194" s="28" t="n">
        <x:f>H194+I194</x:f>
        <x:v>63.20000000000002</x:v>
      </x:c>
      <x:c r="K194" s="26" t="str">
        <x:v>Projection-only v1.0</x:v>
      </x:c>
      <x:c r="L194" s="26" t="n">
        <x:f>RANK.EQ(J194,$J$5:$J$619,0)</x:f>
        <x:v>42</x:v>
      </x:c>
      <x:c r="M194" s="26" t="str">
        <x:f>IF(I194=0,"PROJECTION ONLY","EDITORIAL ADJUSTMENT")</x:f>
        <x:v>PROJECTION ONLY</x:v>
      </x:c>
    </x:row>
    <x:row r="195">
      <x:c r="A195" s="26" t="str">
        <x:v>WR</x:v>
      </x:c>
      <x:c r="B195" s="26" t="n">
        <x:v>23</x:v>
      </x:c>
      <x:c r="C195" s="26" t="str">
        <x:v>Terry McLaurin</x:v>
      </x:c>
      <x:c r="D195" s="26" t="str">
        <x:v>WAS</x:v>
      </x:c>
      <x:c r="E195" s="28" t="n">
        <x:v>170.2</x:v>
      </x:c>
      <x:c r="F195" s="28" t="str">
        <x:v>WR|23</x:v>
      </x:c>
      <x:c r="G195" s="28" t="n">
        <x:f>XLOOKUP(A195,'Assumptions'!$A$12:$A$15,'Assumptions'!$C$12:$C$15)</x:f>
        <x:v>110.6</x:v>
      </x:c>
      <x:c r="H195" s="28" t="n">
        <x:f>E195-G195</x:f>
        <x:v>59.599999999999994</x:v>
      </x:c>
      <x:c r="I195" s="29" t="n">
        <x:v>0</x:v>
      </x:c>
      <x:c r="J195" s="28" t="n">
        <x:f>H195+I195</x:f>
        <x:v>59.599999999999994</x:v>
      </x:c>
      <x:c r="K195" s="26" t="str">
        <x:v>Projection-only v1.0</x:v>
      </x:c>
      <x:c r="L195" s="26" t="n">
        <x:f>RANK.EQ(J195,$J$5:$J$619,0)</x:f>
        <x:v>46</x:v>
      </x:c>
      <x:c r="M195" s="26" t="str">
        <x:f>IF(I195=0,"PROJECTION ONLY","EDITORIAL ADJUSTMENT")</x:f>
        <x:v>PROJECTION ONLY</x:v>
      </x:c>
    </x:row>
    <x:row r="196">
      <x:c r="A196" s="26" t="str">
        <x:v>WR</x:v>
      </x:c>
      <x:c r="B196" s="26" t="n">
        <x:v>24</x:v>
      </x:c>
      <x:c r="C196" s="26" t="str">
        <x:v>Malik Nabers</x:v>
      </x:c>
      <x:c r="D196" s="26" t="str">
        <x:v>NYG</x:v>
      </x:c>
      <x:c r="E196" s="28" t="n">
        <x:v>167.1</x:v>
      </x:c>
      <x:c r="F196" s="28" t="str">
        <x:v>WR|24</x:v>
      </x:c>
      <x:c r="G196" s="28" t="n">
        <x:f>XLOOKUP(A196,'Assumptions'!$A$12:$A$15,'Assumptions'!$C$12:$C$15)</x:f>
        <x:v>110.6</x:v>
      </x:c>
      <x:c r="H196" s="28" t="n">
        <x:f>E196-G196</x:f>
        <x:v>56.5</x:v>
      </x:c>
      <x:c r="I196" s="29" t="n">
        <x:v>0</x:v>
      </x:c>
      <x:c r="J196" s="28" t="n">
        <x:f>H196+I196</x:f>
        <x:v>56.5</x:v>
      </x:c>
      <x:c r="K196" s="26" t="str">
        <x:v>Projection-only v1.0</x:v>
      </x:c>
      <x:c r="L196" s="26" t="n">
        <x:f>RANK.EQ(J196,$J$5:$J$619,0)</x:f>
        <x:v>51</x:v>
      </x:c>
      <x:c r="M196" s="26" t="str">
        <x:f>IF(I196=0,"PROJECTION ONLY","EDITORIAL ADJUSTMENT")</x:f>
        <x:v>PROJECTION ONLY</x:v>
      </x:c>
    </x:row>
    <x:row r="197">
      <x:c r="A197" s="26" t="str">
        <x:v>WR</x:v>
      </x:c>
      <x:c r="B197" s="26" t="n">
        <x:v>25</x:v>
      </x:c>
      <x:c r="C197" s="26" t="str">
        <x:v>Jameson Williams</x:v>
      </x:c>
      <x:c r="D197" s="26" t="str">
        <x:v>DET</x:v>
      </x:c>
      <x:c r="E197" s="28" t="n">
        <x:v>172.2</x:v>
      </x:c>
      <x:c r="F197" s="28" t="str">
        <x:v>WR|25</x:v>
      </x:c>
      <x:c r="G197" s="28" t="n">
        <x:f>XLOOKUP(A197,'Assumptions'!$A$12:$A$15,'Assumptions'!$C$12:$C$15)</x:f>
        <x:v>110.6</x:v>
      </x:c>
      <x:c r="H197" s="28" t="n">
        <x:f>E197-G197</x:f>
        <x:v>61.599999999999994</x:v>
      </x:c>
      <x:c r="I197" s="29" t="n">
        <x:v>0</x:v>
      </x:c>
      <x:c r="J197" s="28" t="n">
        <x:f>H197+I197</x:f>
        <x:v>61.599999999999994</x:v>
      </x:c>
      <x:c r="K197" s="26" t="str">
        <x:v>Projection-only v1.0</x:v>
      </x:c>
      <x:c r="L197" s="26" t="n">
        <x:f>RANK.EQ(J197,$J$5:$J$619,0)</x:f>
        <x:v>45</x:v>
      </x:c>
      <x:c r="M197" s="26" t="str">
        <x:f>IF(I197=0,"PROJECTION ONLY","EDITORIAL ADJUSTMENT")</x:f>
        <x:v>PROJECTION ONLY</x:v>
      </x:c>
    </x:row>
    <x:row r="198">
      <x:c r="A198" s="26" t="str">
        <x:v>WR</x:v>
      </x:c>
      <x:c r="B198" s="26" t="n">
        <x:v>26</x:v>
      </x:c>
      <x:c r="C198" s="26" t="str">
        <x:v>Jaylen Waddle</x:v>
      </x:c>
      <x:c r="D198" s="26" t="str">
        <x:v>DEN</x:v>
      </x:c>
      <x:c r="E198" s="28" t="n">
        <x:v>166.4</x:v>
      </x:c>
      <x:c r="F198" s="28" t="str">
        <x:v>WR|26</x:v>
      </x:c>
      <x:c r="G198" s="28" t="n">
        <x:f>XLOOKUP(A198,'Assumptions'!$A$12:$A$15,'Assumptions'!$C$12:$C$15)</x:f>
        <x:v>110.6</x:v>
      </x:c>
      <x:c r="H198" s="28" t="n">
        <x:f>E198-G198</x:f>
        <x:v>55.80000000000001</x:v>
      </x:c>
      <x:c r="I198" s="29" t="n">
        <x:v>0</x:v>
      </x:c>
      <x:c r="J198" s="28" t="n">
        <x:f>H198+I198</x:f>
        <x:v>55.80000000000001</x:v>
      </x:c>
      <x:c r="K198" s="26" t="str">
        <x:v>Projection-only v1.0</x:v>
      </x:c>
      <x:c r="L198" s="26" t="n">
        <x:f>RANK.EQ(J198,$J$5:$J$619,0)</x:f>
        <x:v>52</x:v>
      </x:c>
      <x:c r="M198" s="26" t="str">
        <x:f>IF(I198=0,"PROJECTION ONLY","EDITORIAL ADJUSTMENT")</x:f>
        <x:v>PROJECTION ONLY</x:v>
      </x:c>
    </x:row>
    <x:row r="199">
      <x:c r="A199" s="26" t="str">
        <x:v>WR</x:v>
      </x:c>
      <x:c r="B199" s="26" t="n">
        <x:v>27</x:v>
      </x:c>
      <x:c r="C199" s="26" t="str">
        <x:v>Mike Evans</x:v>
      </x:c>
      <x:c r="D199" s="26" t="str">
        <x:v>SF</x:v>
      </x:c>
      <x:c r="E199" s="28" t="n">
        <x:v>168.8</x:v>
      </x:c>
      <x:c r="F199" s="28" t="str">
        <x:v>WR|27</x:v>
      </x:c>
      <x:c r="G199" s="28" t="n">
        <x:f>XLOOKUP(A199,'Assumptions'!$A$12:$A$15,'Assumptions'!$C$12:$C$15)</x:f>
        <x:v>110.6</x:v>
      </x:c>
      <x:c r="H199" s="28" t="n">
        <x:f>E199-G199</x:f>
        <x:v>58.20000000000002</x:v>
      </x:c>
      <x:c r="I199" s="29" t="n">
        <x:v>0</x:v>
      </x:c>
      <x:c r="J199" s="28" t="n">
        <x:f>H199+I199</x:f>
        <x:v>58.20000000000002</x:v>
      </x:c>
      <x:c r="K199" s="26" t="str">
        <x:v>Projection-only v1.0</x:v>
      </x:c>
      <x:c r="L199" s="26" t="n">
        <x:f>RANK.EQ(J199,$J$5:$J$619,0)</x:f>
        <x:v>50</x:v>
      </x:c>
      <x:c r="M199" s="26" t="str">
        <x:f>IF(I199=0,"PROJECTION ONLY","EDITORIAL ADJUSTMENT")</x:f>
        <x:v>PROJECTION ONLY</x:v>
      </x:c>
    </x:row>
    <x:row r="200">
      <x:c r="A200" s="26" t="str">
        <x:v>WR</x:v>
      </x:c>
      <x:c r="B200" s="26" t="n">
        <x:v>28</x:v>
      </x:c>
      <x:c r="C200" s="26" t="str">
        <x:v>Ladd McConkey</x:v>
      </x:c>
      <x:c r="D200" s="26" t="str">
        <x:v>LAC</x:v>
      </x:c>
      <x:c r="E200" s="28" t="n">
        <x:v>162</x:v>
      </x:c>
      <x:c r="F200" s="28" t="str">
        <x:v>WR|28</x:v>
      </x:c>
      <x:c r="G200" s="28" t="n">
        <x:f>XLOOKUP(A200,'Assumptions'!$A$12:$A$15,'Assumptions'!$C$12:$C$15)</x:f>
        <x:v>110.6</x:v>
      </x:c>
      <x:c r="H200" s="28" t="n">
        <x:f>E200-G200</x:f>
        <x:v>51.400000000000006</x:v>
      </x:c>
      <x:c r="I200" s="29" t="n">
        <x:v>0</x:v>
      </x:c>
      <x:c r="J200" s="28" t="n">
        <x:f>H200+I200</x:f>
        <x:v>51.400000000000006</x:v>
      </x:c>
      <x:c r="K200" s="26" t="str">
        <x:v>Projection-only v1.0</x:v>
      </x:c>
      <x:c r="L200" s="26" t="n">
        <x:f>RANK.EQ(J200,$J$5:$J$619,0)</x:f>
        <x:v>55</x:v>
      </x:c>
      <x:c r="M200" s="26" t="str">
        <x:f>IF(I200=0,"PROJECTION ONLY","EDITORIAL ADJUSTMENT")</x:f>
        <x:v>PROJECTION ONLY</x:v>
      </x:c>
    </x:row>
    <x:row r="201">
      <x:c r="A201" s="26" t="str">
        <x:v>WR</x:v>
      </x:c>
      <x:c r="B201" s="26" t="n">
        <x:v>29</x:v>
      </x:c>
      <x:c r="C201" s="26" t="str">
        <x:v>Courtland Sutton</x:v>
      </x:c>
      <x:c r="D201" s="26" t="str">
        <x:v>DEN</x:v>
      </x:c>
      <x:c r="E201" s="28" t="n">
        <x:v>163</x:v>
      </x:c>
      <x:c r="F201" s="28" t="str">
        <x:v>WR|29</x:v>
      </x:c>
      <x:c r="G201" s="28" t="n">
        <x:f>XLOOKUP(A201,'Assumptions'!$A$12:$A$15,'Assumptions'!$C$12:$C$15)</x:f>
        <x:v>110.6</x:v>
      </x:c>
      <x:c r="H201" s="28" t="n">
        <x:f>E201-G201</x:f>
        <x:v>52.400000000000006</x:v>
      </x:c>
      <x:c r="I201" s="29" t="n">
        <x:v>0</x:v>
      </x:c>
      <x:c r="J201" s="28" t="n">
        <x:f>H201+I201</x:f>
        <x:v>52.400000000000006</x:v>
      </x:c>
      <x:c r="K201" s="26" t="str">
        <x:v>Projection-only v1.0</x:v>
      </x:c>
      <x:c r="L201" s="26" t="n">
        <x:f>RANK.EQ(J201,$J$5:$J$619,0)</x:f>
        <x:v>54</x:v>
      </x:c>
      <x:c r="M201" s="26" t="str">
        <x:f>IF(I201=0,"PROJECTION ONLY","EDITORIAL ADJUSTMENT")</x:f>
        <x:v>PROJECTION ONLY</x:v>
      </x:c>
    </x:row>
    <x:row r="202">
      <x:c r="A202" s="26" t="str">
        <x:v>WR</x:v>
      </x:c>
      <x:c r="B202" s="26" t="n">
        <x:v>30</x:v>
      </x:c>
      <x:c r="C202" s="26" t="str">
        <x:v>Wan'Dale Robinson</x:v>
      </x:c>
      <x:c r="D202" s="26" t="str">
        <x:v>TEN</x:v>
      </x:c>
      <x:c r="E202" s="28" t="n">
        <x:v>152.9</x:v>
      </x:c>
      <x:c r="F202" s="28" t="str">
        <x:v>WR|30</x:v>
      </x:c>
      <x:c r="G202" s="28" t="n">
        <x:f>XLOOKUP(A202,'Assumptions'!$A$12:$A$15,'Assumptions'!$C$12:$C$15)</x:f>
        <x:v>110.6</x:v>
      </x:c>
      <x:c r="H202" s="28" t="n">
        <x:f>E202-G202</x:f>
        <x:v>42.30000000000001</x:v>
      </x:c>
      <x:c r="I202" s="29" t="n">
        <x:v>0</x:v>
      </x:c>
      <x:c r="J202" s="28" t="n">
        <x:f>H202+I202</x:f>
        <x:v>42.30000000000001</x:v>
      </x:c>
      <x:c r="K202" s="26" t="str">
        <x:v>Projection-only v1.0</x:v>
      </x:c>
      <x:c r="L202" s="26" t="n">
        <x:f>RANK.EQ(J202,$J$5:$J$619,0)</x:f>
        <x:v>61</x:v>
      </x:c>
      <x:c r="M202" s="26" t="str">
        <x:f>IF(I202=0,"PROJECTION ONLY","EDITORIAL ADJUSTMENT")</x:f>
        <x:v>PROJECTION ONLY</x:v>
      </x:c>
    </x:row>
    <x:row r="203">
      <x:c r="A203" s="26" t="str">
        <x:v>WR</x:v>
      </x:c>
      <x:c r="B203" s="26" t="n">
        <x:v>31</x:v>
      </x:c>
      <x:c r="C203" s="26" t="str">
        <x:v>Davante Adams</x:v>
      </x:c>
      <x:c r="D203" s="26" t="str">
        <x:v>LAR</x:v>
      </x:c>
      <x:c r="E203" s="28" t="n">
        <x:v>161.3</x:v>
      </x:c>
      <x:c r="F203" s="28" t="str">
        <x:v>WR|31</x:v>
      </x:c>
      <x:c r="G203" s="28" t="n">
        <x:f>XLOOKUP(A203,'Assumptions'!$A$12:$A$15,'Assumptions'!$C$12:$C$15)</x:f>
        <x:v>110.6</x:v>
      </x:c>
      <x:c r="H203" s="28" t="n">
        <x:f>E203-G203</x:f>
        <x:v>50.70000000000002</x:v>
      </x:c>
      <x:c r="I203" s="29" t="n">
        <x:v>0</x:v>
      </x:c>
      <x:c r="J203" s="28" t="n">
        <x:f>H203+I203</x:f>
        <x:v>50.70000000000002</x:v>
      </x:c>
      <x:c r="K203" s="26" t="str">
        <x:v>Projection-only v1.0</x:v>
      </x:c>
      <x:c r="L203" s="26" t="n">
        <x:f>RANK.EQ(J203,$J$5:$J$619,0)</x:f>
        <x:v>56</x:v>
      </x:c>
      <x:c r="M203" s="26" t="str">
        <x:f>IF(I203=0,"PROJECTION ONLY","EDITORIAL ADJUSTMENT")</x:f>
        <x:v>PROJECTION ONLY</x:v>
      </x:c>
    </x:row>
    <x:row r="204">
      <x:c r="A204" s="26" t="str">
        <x:v>WR</x:v>
      </x:c>
      <x:c r="B204" s="26" t="n">
        <x:v>32</x:v>
      </x:c>
      <x:c r="C204" s="26" t="str">
        <x:v>DK Metcalf</x:v>
      </x:c>
      <x:c r="D204" s="26" t="str">
        <x:v>PIT</x:v>
      </x:c>
      <x:c r="E204" s="28" t="n">
        <x:v>158.2</x:v>
      </x:c>
      <x:c r="F204" s="28" t="str">
        <x:v>WR|32</x:v>
      </x:c>
      <x:c r="G204" s="28" t="n">
        <x:f>XLOOKUP(A204,'Assumptions'!$A$12:$A$15,'Assumptions'!$C$12:$C$15)</x:f>
        <x:v>110.6</x:v>
      </x:c>
      <x:c r="H204" s="28" t="n">
        <x:f>E204-G204</x:f>
        <x:v>47.599999999999994</x:v>
      </x:c>
      <x:c r="I204" s="29" t="n">
        <x:v>0</x:v>
      </x:c>
      <x:c r="J204" s="28" t="n">
        <x:f>H204+I204</x:f>
        <x:v>47.599999999999994</x:v>
      </x:c>
      <x:c r="K204" s="26" t="str">
        <x:v>Projection-only v1.0</x:v>
      </x:c>
      <x:c r="L204" s="26" t="n">
        <x:f>RANK.EQ(J204,$J$5:$J$619,0)</x:f>
        <x:v>58</x:v>
      </x:c>
      <x:c r="M204" s="26" t="str">
        <x:f>IF(I204=0,"PROJECTION ONLY","EDITORIAL ADJUSTMENT")</x:f>
        <x:v>PROJECTION ONLY</x:v>
      </x:c>
    </x:row>
    <x:row r="205">
      <x:c r="A205" s="26" t="str">
        <x:v>WR</x:v>
      </x:c>
      <x:c r="B205" s="26" t="n">
        <x:v>33</x:v>
      </x:c>
      <x:c r="C205" s="26" t="str">
        <x:v>Christian Watson</x:v>
      </x:c>
      <x:c r="D205" s="26" t="str">
        <x:v>GB</x:v>
      </x:c>
      <x:c r="E205" s="28" t="n">
        <x:v>155.6</x:v>
      </x:c>
      <x:c r="F205" s="28" t="str">
        <x:v>WR|33</x:v>
      </x:c>
      <x:c r="G205" s="28" t="n">
        <x:f>XLOOKUP(A205,'Assumptions'!$A$12:$A$15,'Assumptions'!$C$12:$C$15)</x:f>
        <x:v>110.6</x:v>
      </x:c>
      <x:c r="H205" s="28" t="n">
        <x:f>E205-G205</x:f>
        <x:v>45</x:v>
      </x:c>
      <x:c r="I205" s="29" t="n">
        <x:v>0</x:v>
      </x:c>
      <x:c r="J205" s="28" t="n">
        <x:f>H205+I205</x:f>
        <x:v>45</x:v>
      </x:c>
      <x:c r="K205" s="26" t="str">
        <x:v>Projection-only v1.0</x:v>
      </x:c>
      <x:c r="L205" s="26" t="n">
        <x:f>RANK.EQ(J205,$J$5:$J$619,0)</x:f>
        <x:v>60</x:v>
      </x:c>
      <x:c r="M205" s="26" t="str">
        <x:f>IF(I205=0,"PROJECTION ONLY","EDITORIAL ADJUSTMENT")</x:f>
        <x:v>PROJECTION ONLY</x:v>
      </x:c>
    </x:row>
    <x:row r="206">
      <x:c r="A206" s="26" t="str">
        <x:v>WR</x:v>
      </x:c>
      <x:c r="B206" s="26" t="n">
        <x:v>34</x:v>
      </x:c>
      <x:c r="C206" s="26" t="str">
        <x:v>Michael Wilson</x:v>
      </x:c>
      <x:c r="D206" s="26" t="str">
        <x:v>ARI</x:v>
      </x:c>
      <x:c r="E206" s="28" t="n">
        <x:v>147.3</x:v>
      </x:c>
      <x:c r="F206" s="28" t="str">
        <x:v>WR|34</x:v>
      </x:c>
      <x:c r="G206" s="28" t="n">
        <x:f>XLOOKUP(A206,'Assumptions'!$A$12:$A$15,'Assumptions'!$C$12:$C$15)</x:f>
        <x:v>110.6</x:v>
      </x:c>
      <x:c r="H206" s="28" t="n">
        <x:f>E206-G206</x:f>
        <x:v>36.70000000000002</x:v>
      </x:c>
      <x:c r="I206" s="29" t="n">
        <x:v>0</x:v>
      </x:c>
      <x:c r="J206" s="28" t="n">
        <x:f>H206+I206</x:f>
        <x:v>36.70000000000002</x:v>
      </x:c>
      <x:c r="K206" s="26" t="str">
        <x:v>Projection-only v1.0</x:v>
      </x:c>
      <x:c r="L206" s="26" t="n">
        <x:f>RANK.EQ(J206,$J$5:$J$619,0)</x:f>
        <x:v>64</x:v>
      </x:c>
      <x:c r="M206" s="26" t="str">
        <x:f>IF(I206=0,"PROJECTION ONLY","EDITORIAL ADJUSTMENT")</x:f>
        <x:v>PROJECTION ONLY</x:v>
      </x:c>
    </x:row>
    <x:row r="207">
      <x:c r="A207" s="26" t="str">
        <x:v>WR</x:v>
      </x:c>
      <x:c r="B207" s="26" t="n">
        <x:v>35</x:v>
      </x:c>
      <x:c r="C207" s="26" t="str">
        <x:v>Michael Pittman Jr.</x:v>
      </x:c>
      <x:c r="D207" s="26" t="str">
        <x:v>PIT</x:v>
      </x:c>
      <x:c r="E207" s="28" t="n">
        <x:v>140.6</x:v>
      </x:c>
      <x:c r="F207" s="28" t="str">
        <x:v>WR|35</x:v>
      </x:c>
      <x:c r="G207" s="28" t="n">
        <x:f>XLOOKUP(A207,'Assumptions'!$A$12:$A$15,'Assumptions'!$C$12:$C$15)</x:f>
        <x:v>110.6</x:v>
      </x:c>
      <x:c r="H207" s="28" t="n">
        <x:f>E207-G207</x:f>
        <x:v>30</x:v>
      </x:c>
      <x:c r="I207" s="29" t="n">
        <x:v>0</x:v>
      </x:c>
      <x:c r="J207" s="28" t="n">
        <x:f>H207+I207</x:f>
        <x:v>30</x:v>
      </x:c>
      <x:c r="K207" s="26" t="str">
        <x:v>Projection-only v1.0</x:v>
      </x:c>
      <x:c r="L207" s="26" t="n">
        <x:f>RANK.EQ(J207,$J$5:$J$619,0)</x:f>
        <x:v>68</x:v>
      </x:c>
      <x:c r="M207" s="26" t="str">
        <x:f>IF(I207=0,"PROJECTION ONLY","EDITORIAL ADJUSTMENT")</x:f>
        <x:v>PROJECTION ONLY</x:v>
      </x:c>
    </x:row>
    <x:row r="208">
      <x:c r="A208" s="26" t="str">
        <x:v>WR</x:v>
      </x:c>
      <x:c r="B208" s="26" t="n">
        <x:v>36</x:v>
      </x:c>
      <x:c r="C208" s="26" t="str">
        <x:v>Parker Washington</x:v>
      </x:c>
      <x:c r="D208" s="26" t="str">
        <x:v>JAX</x:v>
      </x:c>
      <x:c r="E208" s="28" t="n">
        <x:v>147.6</x:v>
      </x:c>
      <x:c r="F208" s="28" t="str">
        <x:v>WR|36</x:v>
      </x:c>
      <x:c r="G208" s="28" t="n">
        <x:f>XLOOKUP(A208,'Assumptions'!$A$12:$A$15,'Assumptions'!$C$12:$C$15)</x:f>
        <x:v>110.6</x:v>
      </x:c>
      <x:c r="H208" s="28" t="n">
        <x:f>E208-G208</x:f>
        <x:v>37</x:v>
      </x:c>
      <x:c r="I208" s="29" t="n">
        <x:v>0</x:v>
      </x:c>
      <x:c r="J208" s="28" t="n">
        <x:f>H208+I208</x:f>
        <x:v>37</x:v>
      </x:c>
      <x:c r="K208" s="26" t="str">
        <x:v>Projection-only v1.0</x:v>
      </x:c>
      <x:c r="L208" s="26" t="n">
        <x:f>RANK.EQ(J208,$J$5:$J$619,0)</x:f>
        <x:v>63</x:v>
      </x:c>
      <x:c r="M208" s="26" t="str">
        <x:f>IF(I208=0,"PROJECTION ONLY","EDITORIAL ADJUSTMENT")</x:f>
        <x:v>PROJECTION ONLY</x:v>
      </x:c>
    </x:row>
    <x:row r="209">
      <x:c r="A209" s="26" t="str">
        <x:v>WR</x:v>
      </x:c>
      <x:c r="B209" s="26" t="n">
        <x:v>37</x:v>
      </x:c>
      <x:c r="C209" s="26" t="str">
        <x:v>Brian Thomas Jr.</x:v>
      </x:c>
      <x:c r="D209" s="26" t="str">
        <x:v>JAX</x:v>
      </x:c>
      <x:c r="E209" s="28" t="n">
        <x:v>145.4</x:v>
      </x:c>
      <x:c r="F209" s="28" t="str">
        <x:v>WR|37</x:v>
      </x:c>
      <x:c r="G209" s="28" t="n">
        <x:f>XLOOKUP(A209,'Assumptions'!$A$12:$A$15,'Assumptions'!$C$12:$C$15)</x:f>
        <x:v>110.6</x:v>
      </x:c>
      <x:c r="H209" s="28" t="n">
        <x:f>E209-G209</x:f>
        <x:v>34.80000000000001</x:v>
      </x:c>
      <x:c r="I209" s="29" t="n">
        <x:v>0</x:v>
      </x:c>
      <x:c r="J209" s="28" t="n">
        <x:f>H209+I209</x:f>
        <x:v>34.80000000000001</x:v>
      </x:c>
      <x:c r="K209" s="26" t="str">
        <x:v>Projection-only v1.0</x:v>
      </x:c>
      <x:c r="L209" s="26" t="n">
        <x:f>RANK.EQ(J209,$J$5:$J$619,0)</x:f>
        <x:v>65</x:v>
      </x:c>
      <x:c r="M209" s="26" t="str">
        <x:f>IF(I209=0,"PROJECTION ONLY","EDITORIAL ADJUSTMENT")</x:f>
        <x:v>PROJECTION ONLY</x:v>
      </x:c>
    </x:row>
    <x:row r="210">
      <x:c r="A210" s="26" t="str">
        <x:v>WR</x:v>
      </x:c>
      <x:c r="B210" s="26" t="n">
        <x:v>38</x:v>
      </x:c>
      <x:c r="C210" s="26" t="str">
        <x:v>Jayden Reed</x:v>
      </x:c>
      <x:c r="D210" s="26" t="str">
        <x:v>GB</x:v>
      </x:c>
      <x:c r="E210" s="28" t="n">
        <x:v>140.5</x:v>
      </x:c>
      <x:c r="F210" s="28" t="str">
        <x:v>WR|38</x:v>
      </x:c>
      <x:c r="G210" s="28" t="n">
        <x:f>XLOOKUP(A210,'Assumptions'!$A$12:$A$15,'Assumptions'!$C$12:$C$15)</x:f>
        <x:v>110.6</x:v>
      </x:c>
      <x:c r="H210" s="28" t="n">
        <x:f>E210-G210</x:f>
        <x:v>29.900000000000006</x:v>
      </x:c>
      <x:c r="I210" s="29" t="n">
        <x:v>0</x:v>
      </x:c>
      <x:c r="J210" s="28" t="n">
        <x:f>H210+I210</x:f>
        <x:v>29.900000000000006</x:v>
      </x:c>
      <x:c r="K210" s="26" t="str">
        <x:v>Projection-only v1.0</x:v>
      </x:c>
      <x:c r="L210" s="26" t="n">
        <x:f>RANK.EQ(J210,$J$5:$J$619,0)</x:f>
        <x:v>69</x:v>
      </x:c>
      <x:c r="M210" s="26" t="str">
        <x:f>IF(I210=0,"PROJECTION ONLY","EDITORIAL ADJUSTMENT")</x:f>
        <x:v>PROJECTION ONLY</x:v>
      </x:c>
    </x:row>
    <x:row r="211">
      <x:c r="A211" s="26" t="str">
        <x:v>WR</x:v>
      </x:c>
      <x:c r="B211" s="26" t="n">
        <x:v>39</x:v>
      </x:c>
      <x:c r="C211" s="26" t="str">
        <x:v>Matthew Golden</x:v>
      </x:c>
      <x:c r="D211" s="26" t="str">
        <x:v>GB</x:v>
      </x:c>
      <x:c r="E211" s="28" t="n">
        <x:v>135.8</x:v>
      </x:c>
      <x:c r="F211" s="28" t="str">
        <x:v>WR|39</x:v>
      </x:c>
      <x:c r="G211" s="28" t="n">
        <x:f>XLOOKUP(A211,'Assumptions'!$A$12:$A$15,'Assumptions'!$C$12:$C$15)</x:f>
        <x:v>110.6</x:v>
      </x:c>
      <x:c r="H211" s="28" t="n">
        <x:f>E211-G211</x:f>
        <x:v>25.200000000000017</x:v>
      </x:c>
      <x:c r="I211" s="29" t="n">
        <x:v>0</x:v>
      </x:c>
      <x:c r="J211" s="28" t="n">
        <x:f>H211+I211</x:f>
        <x:v>25.200000000000017</x:v>
      </x:c>
      <x:c r="K211" s="26" t="str">
        <x:v>Projection-only v1.0</x:v>
      </x:c>
      <x:c r="L211" s="26" t="n">
        <x:f>RANK.EQ(J211,$J$5:$J$619,0)</x:f>
        <x:v>77</x:v>
      </x:c>
      <x:c r="M211" s="26" t="str">
        <x:f>IF(I211=0,"PROJECTION ONLY","EDITORIAL ADJUSTMENT")</x:f>
        <x:v>PROJECTION ONLY</x:v>
      </x:c>
    </x:row>
    <x:row r="212">
      <x:c r="A212" s="26" t="str">
        <x:v>WR</x:v>
      </x:c>
      <x:c r="B212" s="26" t="n">
        <x:v>40</x:v>
      </x:c>
      <x:c r="C212" s="26" t="str">
        <x:v>Jordan Addison</x:v>
      </x:c>
      <x:c r="D212" s="26" t="str">
        <x:v>MIN</x:v>
      </x:c>
      <x:c r="E212" s="28" t="n">
        <x:v>135.2</x:v>
      </x:c>
      <x:c r="F212" s="28" t="str">
        <x:v>WR|40</x:v>
      </x:c>
      <x:c r="G212" s="28" t="n">
        <x:f>XLOOKUP(A212,'Assumptions'!$A$12:$A$15,'Assumptions'!$C$12:$C$15)</x:f>
        <x:v>110.6</x:v>
      </x:c>
      <x:c r="H212" s="28" t="n">
        <x:f>E212-G212</x:f>
        <x:v>24.599999999999994</x:v>
      </x:c>
      <x:c r="I212" s="29" t="n">
        <x:v>0</x:v>
      </x:c>
      <x:c r="J212" s="28" t="n">
        <x:f>H212+I212</x:f>
        <x:v>24.599999999999994</x:v>
      </x:c>
      <x:c r="K212" s="26" t="str">
        <x:v>Projection-only v1.0</x:v>
      </x:c>
      <x:c r="L212" s="26" t="n">
        <x:f>RANK.EQ(J212,$J$5:$J$619,0)</x:f>
        <x:v>78</x:v>
      </x:c>
      <x:c r="M212" s="26" t="str">
        <x:f>IF(I212=0,"PROJECTION ONLY","EDITORIAL ADJUSTMENT")</x:f>
        <x:v>PROJECTION ONLY</x:v>
      </x:c>
    </x:row>
    <x:row r="213">
      <x:c r="A213" s="26" t="str">
        <x:v>WR</x:v>
      </x:c>
      <x:c r="B213" s="26" t="n">
        <x:v>41</x:v>
      </x:c>
      <x:c r="C213" s="26" t="str">
        <x:v>Alec Pierce</x:v>
      </x:c>
      <x:c r="D213" s="26" t="str">
        <x:v>IND</x:v>
      </x:c>
      <x:c r="E213" s="28" t="n">
        <x:v>136.4</x:v>
      </x:c>
      <x:c r="F213" s="28" t="str">
        <x:v>WR|41</x:v>
      </x:c>
      <x:c r="G213" s="28" t="n">
        <x:f>XLOOKUP(A213,'Assumptions'!$A$12:$A$15,'Assumptions'!$C$12:$C$15)</x:f>
        <x:v>110.6</x:v>
      </x:c>
      <x:c r="H213" s="28" t="n">
        <x:f>E213-G213</x:f>
        <x:v>25.80000000000001</x:v>
      </x:c>
      <x:c r="I213" s="29" t="n">
        <x:v>0</x:v>
      </x:c>
      <x:c r="J213" s="28" t="n">
        <x:f>H213+I213</x:f>
        <x:v>25.80000000000001</x:v>
      </x:c>
      <x:c r="K213" s="26" t="str">
        <x:v>Projection-only v1.0</x:v>
      </x:c>
      <x:c r="L213" s="26" t="n">
        <x:f>RANK.EQ(J213,$J$5:$J$619,0)</x:f>
        <x:v>75</x:v>
      </x:c>
      <x:c r="M213" s="26" t="str">
        <x:f>IF(I213=0,"PROJECTION ONLY","EDITORIAL ADJUSTMENT")</x:f>
        <x:v>PROJECTION ONLY</x:v>
      </x:c>
    </x:row>
    <x:row r="214">
      <x:c r="A214" s="26" t="str">
        <x:v>WR</x:v>
      </x:c>
      <x:c r="B214" s="26" t="n">
        <x:v>42</x:v>
      </x:c>
      <x:c r="C214" s="26" t="str">
        <x:v>Jakobi Meyers</x:v>
      </x:c>
      <x:c r="D214" s="26" t="str">
        <x:v>JAX</x:v>
      </x:c>
      <x:c r="E214" s="28" t="n">
        <x:v>126.5</x:v>
      </x:c>
      <x:c r="F214" s="28" t="str">
        <x:v>WR|42</x:v>
      </x:c>
      <x:c r="G214" s="28" t="n">
        <x:f>XLOOKUP(A214,'Assumptions'!$A$12:$A$15,'Assumptions'!$C$12:$C$15)</x:f>
        <x:v>110.6</x:v>
      </x:c>
      <x:c r="H214" s="28" t="n">
        <x:f>E214-G214</x:f>
        <x:v>15.900000000000006</x:v>
      </x:c>
      <x:c r="I214" s="29" t="n">
        <x:v>0</x:v>
      </x:c>
      <x:c r="J214" s="28" t="n">
        <x:f>H214+I214</x:f>
        <x:v>15.900000000000006</x:v>
      </x:c>
      <x:c r="K214" s="26" t="str">
        <x:v>Projection-only v1.0</x:v>
      </x:c>
      <x:c r="L214" s="26" t="n">
        <x:f>RANK.EQ(J214,$J$5:$J$619,0)</x:f>
        <x:v>83</x:v>
      </x:c>
      <x:c r="M214" s="26" t="str">
        <x:f>IF(I214=0,"PROJECTION ONLY","EDITORIAL ADJUSTMENT")</x:f>
        <x:v>PROJECTION ONLY</x:v>
      </x:c>
    </x:row>
    <x:row r="215">
      <x:c r="A215" s="26" t="str">
        <x:v>WR</x:v>
      </x:c>
      <x:c r="B215" s="26" t="n">
        <x:v>43</x:v>
      </x:c>
      <x:c r="C215" s="26" t="str">
        <x:v>Josh Downs</x:v>
      </x:c>
      <x:c r="D215" s="26" t="str">
        <x:v>IND</x:v>
      </x:c>
      <x:c r="E215" s="28" t="n">
        <x:v>122.3</x:v>
      </x:c>
      <x:c r="F215" s="28" t="str">
        <x:v>WR|43</x:v>
      </x:c>
      <x:c r="G215" s="28" t="n">
        <x:f>XLOOKUP(A215,'Assumptions'!$A$12:$A$15,'Assumptions'!$C$12:$C$15)</x:f>
        <x:v>110.6</x:v>
      </x:c>
      <x:c r="H215" s="28" t="n">
        <x:f>E215-G215</x:f>
        <x:v>11.700000000000003</x:v>
      </x:c>
      <x:c r="I215" s="29" t="n">
        <x:v>0</x:v>
      </x:c>
      <x:c r="J215" s="28" t="n">
        <x:f>H215+I215</x:f>
        <x:v>11.700000000000003</x:v>
      </x:c>
      <x:c r="K215" s="26" t="str">
        <x:v>Projection-only v1.0</x:v>
      </x:c>
      <x:c r="L215" s="26" t="n">
        <x:f>RANK.EQ(J215,$J$5:$J$619,0)</x:f>
        <x:v>89</x:v>
      </x:c>
      <x:c r="M215" s="26" t="str">
        <x:f>IF(I215=0,"PROJECTION ONLY","EDITORIAL ADJUSTMENT")</x:f>
        <x:v>PROJECTION ONLY</x:v>
      </x:c>
    </x:row>
    <x:row r="216">
      <x:c r="A216" s="26" t="str">
        <x:v>WR</x:v>
      </x:c>
      <x:c r="B216" s="26" t="n">
        <x:v>44</x:v>
      </x:c>
      <x:c r="C216" s="26" t="str">
        <x:v>Stefon Diggs</x:v>
      </x:c>
      <x:c r="D216" s="26" t="str">
        <x:v>WAS</x:v>
      </x:c>
      <x:c r="E216" s="28" t="n">
        <x:v>124.3</x:v>
      </x:c>
      <x:c r="F216" s="28" t="str">
        <x:v>WR|44</x:v>
      </x:c>
      <x:c r="G216" s="28" t="n">
        <x:f>XLOOKUP(A216,'Assumptions'!$A$12:$A$15,'Assumptions'!$C$12:$C$15)</x:f>
        <x:v>110.6</x:v>
      </x:c>
      <x:c r="H216" s="28" t="n">
        <x:f>E216-G216</x:f>
        <x:v>13.700000000000003</x:v>
      </x:c>
      <x:c r="I216" s="29" t="n">
        <x:v>0</x:v>
      </x:c>
      <x:c r="J216" s="28" t="n">
        <x:f>H216+I216</x:f>
        <x:v>13.700000000000003</x:v>
      </x:c>
      <x:c r="K216" s="26" t="str">
        <x:v>Projection-only v1.0</x:v>
      </x:c>
      <x:c r="L216" s="26" t="n">
        <x:f>RANK.EQ(J216,$J$5:$J$619,0)</x:f>
        <x:v>86</x:v>
      </x:c>
      <x:c r="M216" s="26" t="str">
        <x:f>IF(I216=0,"PROJECTION ONLY","EDITORIAL ADJUSTMENT")</x:f>
        <x:v>PROJECTION ONLY</x:v>
      </x:c>
    </x:row>
    <x:row r="217">
      <x:c r="A217" s="26" t="str">
        <x:v>WR</x:v>
      </x:c>
      <x:c r="B217" s="26" t="n">
        <x:v>45</x:v>
      </x:c>
      <x:c r="C217" s="26" t="str">
        <x:v>Tre Tucker</x:v>
      </x:c>
      <x:c r="D217" s="26" t="str">
        <x:v>LV</x:v>
      </x:c>
      <x:c r="E217" s="28" t="n">
        <x:v>117.4</x:v>
      </x:c>
      <x:c r="F217" s="28" t="str">
        <x:v>WR|45</x:v>
      </x:c>
      <x:c r="G217" s="28" t="n">
        <x:f>XLOOKUP(A217,'Assumptions'!$A$12:$A$15,'Assumptions'!$C$12:$C$15)</x:f>
        <x:v>110.6</x:v>
      </x:c>
      <x:c r="H217" s="28" t="n">
        <x:f>E217-G217</x:f>
        <x:v>6.800000000000011</x:v>
      </x:c>
      <x:c r="I217" s="29" t="n">
        <x:v>0</x:v>
      </x:c>
      <x:c r="J217" s="28" t="n">
        <x:f>H217+I217</x:f>
        <x:v>6.800000000000011</x:v>
      </x:c>
      <x:c r="K217" s="26" t="str">
        <x:v>Projection-only v1.0</x:v>
      </x:c>
      <x:c r="L217" s="26" t="n">
        <x:f>RANK.EQ(J217,$J$5:$J$619,0)</x:f>
        <x:v>96</x:v>
      </x:c>
      <x:c r="M217" s="26" t="str">
        <x:f>IF(I217=0,"PROJECTION ONLY","EDITORIAL ADJUSTMENT")</x:f>
        <x:v>PROJECTION ONLY</x:v>
      </x:c>
    </x:row>
    <x:row r="218">
      <x:c r="A218" s="26" t="str">
        <x:v>WR</x:v>
      </x:c>
      <x:c r="B218" s="26" t="n">
        <x:v>46</x:v>
      </x:c>
      <x:c r="C218" s="26" t="str">
        <x:v>Xavier Worthy</x:v>
      </x:c>
      <x:c r="D218" s="26" t="str">
        <x:v>KC</x:v>
      </x:c>
      <x:c r="E218" s="28" t="n">
        <x:v>120</x:v>
      </x:c>
      <x:c r="F218" s="28" t="str">
        <x:v>WR|46</x:v>
      </x:c>
      <x:c r="G218" s="28" t="n">
        <x:f>XLOOKUP(A218,'Assumptions'!$A$12:$A$15,'Assumptions'!$C$12:$C$15)</x:f>
        <x:v>110.6</x:v>
      </x:c>
      <x:c r="H218" s="28" t="n">
        <x:f>E218-G218</x:f>
        <x:v>9.400000000000006</x:v>
      </x:c>
      <x:c r="I218" s="29" t="n">
        <x:v>0</x:v>
      </x:c>
      <x:c r="J218" s="28" t="n">
        <x:f>H218+I218</x:f>
        <x:v>9.400000000000006</x:v>
      </x:c>
      <x:c r="K218" s="26" t="str">
        <x:v>Projection-only v1.0</x:v>
      </x:c>
      <x:c r="L218" s="26" t="n">
        <x:f>RANK.EQ(J218,$J$5:$J$619,0)</x:f>
        <x:v>92</x:v>
      </x:c>
      <x:c r="M218" s="26" t="str">
        <x:f>IF(I218=0,"PROJECTION ONLY","EDITORIAL ADJUSTMENT")</x:f>
        <x:v>PROJECTION ONLY</x:v>
      </x:c>
    </x:row>
    <x:row r="219">
      <x:c r="A219" s="26" t="str">
        <x:v>WR</x:v>
      </x:c>
      <x:c r="B219" s="26" t="n">
        <x:v>47</x:v>
      </x:c>
      <x:c r="C219" s="26" t="str">
        <x:v>Quentin Johnston</x:v>
      </x:c>
      <x:c r="D219" s="26" t="str">
        <x:v>LAC</x:v>
      </x:c>
      <x:c r="E219" s="28" t="n">
        <x:v>116.8</x:v>
      </x:c>
      <x:c r="F219" s="28" t="str">
        <x:v>WR|47</x:v>
      </x:c>
      <x:c r="G219" s="28" t="n">
        <x:f>XLOOKUP(A219,'Assumptions'!$A$12:$A$15,'Assumptions'!$C$12:$C$15)</x:f>
        <x:v>110.6</x:v>
      </x:c>
      <x:c r="H219" s="28" t="n">
        <x:f>E219-G219</x:f>
        <x:v>6.200000000000003</x:v>
      </x:c>
      <x:c r="I219" s="29" t="n">
        <x:v>0</x:v>
      </x:c>
      <x:c r="J219" s="28" t="n">
        <x:f>H219+I219</x:f>
        <x:v>6.200000000000003</x:v>
      </x:c>
      <x:c r="K219" s="26" t="str">
        <x:v>Projection-only v1.0</x:v>
      </x:c>
      <x:c r="L219" s="26" t="n">
        <x:f>RANK.EQ(J219,$J$5:$J$619,0)</x:f>
        <x:v>97</x:v>
      </x:c>
      <x:c r="M219" s="26" t="str">
        <x:f>IF(I219=0,"PROJECTION ONLY","EDITORIAL ADJUSTMENT")</x:f>
        <x:v>PROJECTION ONLY</x:v>
      </x:c>
    </x:row>
    <x:row r="220">
      <x:c r="A220" s="26" t="str">
        <x:v>WR</x:v>
      </x:c>
      <x:c r="B220" s="26" t="n">
        <x:v>48</x:v>
      </x:c>
      <x:c r="C220" s="26" t="str">
        <x:v>Chris Godwin Jr.</x:v>
      </x:c>
      <x:c r="D220" s="26" t="str">
        <x:v>TB</x:v>
      </x:c>
      <x:c r="E220" s="28" t="n">
        <x:v>109.2</x:v>
      </x:c>
      <x:c r="F220" s="28" t="str">
        <x:v>WR|48</x:v>
      </x:c>
      <x:c r="G220" s="28" t="n">
        <x:f>XLOOKUP(A220,'Assumptions'!$A$12:$A$15,'Assumptions'!$C$12:$C$15)</x:f>
        <x:v>110.6</x:v>
      </x:c>
      <x:c r="H220" s="28" t="n">
        <x:f>E220-G220</x:f>
        <x:v>-1.3999999999999915</x:v>
      </x:c>
      <x:c r="I220" s="29" t="n">
        <x:v>0</x:v>
      </x:c>
      <x:c r="J220" s="28" t="n">
        <x:f>H220+I220</x:f>
        <x:v>-1.3999999999999915</x:v>
      </x:c>
      <x:c r="K220" s="26" t="str">
        <x:v>Projection-only v1.0</x:v>
      </x:c>
      <x:c r="L220" s="26" t="n">
        <x:f>RANK.EQ(J220,$J$5:$J$619,0)</x:f>
        <x:v>116</x:v>
      </x:c>
      <x:c r="M220" s="26" t="str">
        <x:f>IF(I220=0,"PROJECTION ONLY","EDITORIAL ADJUSTMENT")</x:f>
        <x:v>PROJECTION ONLY</x:v>
      </x:c>
    </x:row>
    <x:row r="221">
      <x:c r="A221" s="26" t="str">
        <x:v>WR</x:v>
      </x:c>
      <x:c r="B221" s="26" t="n">
        <x:v>49</x:v>
      </x:c>
      <x:c r="C221" s="26" t="str">
        <x:v>Adonai Mitchell</x:v>
      </x:c>
      <x:c r="D221" s="26" t="str">
        <x:v>NYJ</x:v>
      </x:c>
      <x:c r="E221" s="28" t="n">
        <x:v>110.6</x:v>
      </x:c>
      <x:c r="F221" s="28" t="str">
        <x:v>WR|49</x:v>
      </x:c>
      <x:c r="G221" s="28" t="n">
        <x:f>XLOOKUP(A221,'Assumptions'!$A$12:$A$15,'Assumptions'!$C$12:$C$15)</x:f>
        <x:v>110.6</x:v>
      </x:c>
      <x:c r="H221" s="28" t="n">
        <x:f>E221-G221</x:f>
        <x:v>0</x:v>
      </x:c>
      <x:c r="I221" s="29" t="n">
        <x:v>0</x:v>
      </x:c>
      <x:c r="J221" s="28" t="n">
        <x:f>H221+I221</x:f>
        <x:v>0</x:v>
      </x:c>
      <x:c r="K221" s="26" t="str">
        <x:v>Projection-only v1.0</x:v>
      </x:c>
      <x:c r="L221" s="26" t="n">
        <x:f>RANK.EQ(J221,$J$5:$J$619,0)</x:f>
        <x:v>109</x:v>
      </x:c>
      <x:c r="M221" s="26" t="str">
        <x:f>IF(I221=0,"PROJECTION ONLY","EDITORIAL ADJUSTMENT")</x:f>
        <x:v>PROJECTION ONLY</x:v>
      </x:c>
    </x:row>
    <x:row r="222">
      <x:c r="A222" s="26" t="str">
        <x:v>WR</x:v>
      </x:c>
      <x:c r="B222" s="26" t="n">
        <x:v>50</x:v>
      </x:c>
      <x:c r="C222" s="26" t="str">
        <x:v>Carnell Tate</x:v>
      </x:c>
      <x:c r="D222" s="26" t="str">
        <x:v>TEN</x:v>
      </x:c>
      <x:c r="E222" s="28" t="n">
        <x:v>109.8</x:v>
      </x:c>
      <x:c r="F222" s="28" t="str">
        <x:v>WR|50</x:v>
      </x:c>
      <x:c r="G222" s="28" t="n">
        <x:f>XLOOKUP(A222,'Assumptions'!$A$12:$A$15,'Assumptions'!$C$12:$C$15)</x:f>
        <x:v>110.6</x:v>
      </x:c>
      <x:c r="H222" s="28" t="n">
        <x:f>E222-G222</x:f>
        <x:v>-0.7999999999999972</x:v>
      </x:c>
      <x:c r="I222" s="29" t="n">
        <x:v>0</x:v>
      </x:c>
      <x:c r="J222" s="28" t="n">
        <x:f>H222+I222</x:f>
        <x:v>-0.7999999999999972</x:v>
      </x:c>
      <x:c r="K222" s="26" t="str">
        <x:v>Projection-only v1.0</x:v>
      </x:c>
      <x:c r="L222" s="26" t="n">
        <x:f>RANK.EQ(J222,$J$5:$J$619,0)</x:f>
        <x:v>113</x:v>
      </x:c>
      <x:c r="M222" s="26" t="str">
        <x:f>IF(I222=0,"PROJECTION ONLY","EDITORIAL ADJUSTMENT")</x:f>
        <x:v>PROJECTION ONLY</x:v>
      </x:c>
    </x:row>
    <x:row r="223">
      <x:c r="A223" s="26" t="str">
        <x:v>WR</x:v>
      </x:c>
      <x:c r="B223" s="26" t="n">
        <x:v>51</x:v>
      </x:c>
      <x:c r="C223" s="26" t="str">
        <x:v>Khalil Shakir</x:v>
      </x:c>
      <x:c r="D223" s="26" t="str">
        <x:v>BUF</x:v>
      </x:c>
      <x:c r="E223" s="28" t="n">
        <x:v>105.2</x:v>
      </x:c>
      <x:c r="F223" s="28" t="str">
        <x:v>WR|51</x:v>
      </x:c>
      <x:c r="G223" s="28" t="n">
        <x:f>XLOOKUP(A223,'Assumptions'!$A$12:$A$15,'Assumptions'!$C$12:$C$15)</x:f>
        <x:v>110.6</x:v>
      </x:c>
      <x:c r="H223" s="28" t="n">
        <x:f>E223-G223</x:f>
        <x:v>-5.3999999999999915</x:v>
      </x:c>
      <x:c r="I223" s="29" t="n">
        <x:v>0</x:v>
      </x:c>
      <x:c r="J223" s="28" t="n">
        <x:f>H223+I223</x:f>
        <x:v>-5.3999999999999915</x:v>
      </x:c>
      <x:c r="K223" s="26" t="str">
        <x:v>Projection-only v1.0</x:v>
      </x:c>
      <x:c r="L223" s="26" t="n">
        <x:f>RANK.EQ(J223,$J$5:$J$619,0)</x:f>
        <x:v>121</x:v>
      </x:c>
      <x:c r="M223" s="26" t="str">
        <x:f>IF(I223=0,"PROJECTION ONLY","EDITORIAL ADJUSTMENT")</x:f>
        <x:v>PROJECTION ONLY</x:v>
      </x:c>
    </x:row>
    <x:row r="224">
      <x:c r="A224" s="26" t="str">
        <x:v>WR</x:v>
      </x:c>
      <x:c r="B224" s="26" t="n">
        <x:v>52</x:v>
      </x:c>
      <x:c r="C224" s="26" t="str">
        <x:v>Jerry Jeudy</x:v>
      </x:c>
      <x:c r="D224" s="26" t="str">
        <x:v>CLE</x:v>
      </x:c>
      <x:c r="E224" s="28" t="n">
        <x:v>106.5</x:v>
      </x:c>
      <x:c r="F224" s="28" t="str">
        <x:v>WR|52</x:v>
      </x:c>
      <x:c r="G224" s="28" t="n">
        <x:f>XLOOKUP(A224,'Assumptions'!$A$12:$A$15,'Assumptions'!$C$12:$C$15)</x:f>
        <x:v>110.6</x:v>
      </x:c>
      <x:c r="H224" s="28" t="n">
        <x:f>E224-G224</x:f>
        <x:v>-4.099999999999994</x:v>
      </x:c>
      <x:c r="I224" s="29" t="n">
        <x:v>0</x:v>
      </x:c>
      <x:c r="J224" s="28" t="n">
        <x:f>H224+I224</x:f>
        <x:v>-4.099999999999994</x:v>
      </x:c>
      <x:c r="K224" s="26" t="str">
        <x:v>Projection-only v1.0</x:v>
      </x:c>
      <x:c r="L224" s="26" t="n">
        <x:f>RANK.EQ(J224,$J$5:$J$619,0)</x:f>
        <x:v>119</x:v>
      </x:c>
      <x:c r="M224" s="26" t="str">
        <x:f>IF(I224=0,"PROJECTION ONLY","EDITORIAL ADJUSTMENT")</x:f>
        <x:v>PROJECTION ONLY</x:v>
      </x:c>
    </x:row>
    <x:row r="225">
      <x:c r="A225" s="26" t="str">
        <x:v>WR</x:v>
      </x:c>
      <x:c r="B225" s="26" t="n">
        <x:v>53</x:v>
      </x:c>
      <x:c r="C225" s="26" t="str">
        <x:v>Denzel Boston</x:v>
      </x:c>
      <x:c r="D225" s="26" t="str">
        <x:v>CLE</x:v>
      </x:c>
      <x:c r="E225" s="28" t="n">
        <x:v>104.1</x:v>
      </x:c>
      <x:c r="F225" s="28" t="str">
        <x:v>WR|53</x:v>
      </x:c>
      <x:c r="G225" s="28" t="n">
        <x:f>XLOOKUP(A225,'Assumptions'!$A$12:$A$15,'Assumptions'!$C$12:$C$15)</x:f>
        <x:v>110.6</x:v>
      </x:c>
      <x:c r="H225" s="28" t="n">
        <x:f>E225-G225</x:f>
        <x:v>-6.5</x:v>
      </x:c>
      <x:c r="I225" s="29" t="n">
        <x:v>0</x:v>
      </x:c>
      <x:c r="J225" s="28" t="n">
        <x:f>H225+I225</x:f>
        <x:v>-6.5</x:v>
      </x:c>
      <x:c r="K225" s="26" t="str">
        <x:v>Projection-only v1.0</x:v>
      </x:c>
      <x:c r="L225" s="26" t="n">
        <x:f>RANK.EQ(J225,$J$5:$J$619,0)</x:f>
        <x:v>123</x:v>
      </x:c>
      <x:c r="M225" s="26" t="str">
        <x:f>IF(I225=0,"PROJECTION ONLY","EDITORIAL ADJUSTMENT")</x:f>
        <x:v>PROJECTION ONLY</x:v>
      </x:c>
    </x:row>
    <x:row r="226">
      <x:c r="A226" s="26" t="str">
        <x:v>WR</x:v>
      </x:c>
      <x:c r="B226" s="26" t="n">
        <x:v>54</x:v>
      </x:c>
      <x:c r="C226" s="26" t="str">
        <x:v>Rashid Shaheed</x:v>
      </x:c>
      <x:c r="D226" s="26" t="str">
        <x:v>SEA</x:v>
      </x:c>
      <x:c r="E226" s="28" t="n">
        <x:v>108</x:v>
      </x:c>
      <x:c r="F226" s="28" t="str">
        <x:v>WR|54</x:v>
      </x:c>
      <x:c r="G226" s="28" t="n">
        <x:f>XLOOKUP(A226,'Assumptions'!$A$12:$A$15,'Assumptions'!$C$12:$C$15)</x:f>
        <x:v>110.6</x:v>
      </x:c>
      <x:c r="H226" s="28" t="n">
        <x:f>E226-G226</x:f>
        <x:v>-2.5999999999999943</x:v>
      </x:c>
      <x:c r="I226" s="29" t="n">
        <x:v>0</x:v>
      </x:c>
      <x:c r="J226" s="28" t="n">
        <x:f>H226+I226</x:f>
        <x:v>-2.5999999999999943</x:v>
      </x:c>
      <x:c r="K226" s="26" t="str">
        <x:v>Projection-only v1.0</x:v>
      </x:c>
      <x:c r="L226" s="26" t="n">
        <x:f>RANK.EQ(J226,$J$5:$J$619,0)</x:f>
        <x:v>118</x:v>
      </x:c>
      <x:c r="M226" s="26" t="str">
        <x:f>IF(I226=0,"PROJECTION ONLY","EDITORIAL ADJUSTMENT")</x:f>
        <x:v>PROJECTION ONLY</x:v>
      </x:c>
    </x:row>
    <x:row r="227">
      <x:c r="A227" s="26" t="str">
        <x:v>WR</x:v>
      </x:c>
      <x:c r="B227" s="26" t="n">
        <x:v>55</x:v>
      </x:c>
      <x:c r="C227" s="26" t="str">
        <x:v>Jauan Jennings</x:v>
      </x:c>
      <x:c r="D227" s="26" t="str">
        <x:v>MIN</x:v>
      </x:c>
      <x:c r="E227" s="28" t="n">
        <x:v>102.6</x:v>
      </x:c>
      <x:c r="F227" s="28" t="str">
        <x:v>WR|55</x:v>
      </x:c>
      <x:c r="G227" s="28" t="n">
        <x:f>XLOOKUP(A227,'Assumptions'!$A$12:$A$15,'Assumptions'!$C$12:$C$15)</x:f>
        <x:v>110.6</x:v>
      </x:c>
      <x:c r="H227" s="28" t="n">
        <x:f>E227-G227</x:f>
        <x:v>-8</x:v>
      </x:c>
      <x:c r="I227" s="29" t="n">
        <x:v>0</x:v>
      </x:c>
      <x:c r="J227" s="28" t="n">
        <x:f>H227+I227</x:f>
        <x:v>-8</x:v>
      </x:c>
      <x:c r="K227" s="26" t="str">
        <x:v>Projection-only v1.0</x:v>
      </x:c>
      <x:c r="L227" s="26" t="n">
        <x:f>RANK.EQ(J227,$J$5:$J$619,0)</x:f>
        <x:v>124</x:v>
      </x:c>
      <x:c r="M227" s="26" t="str">
        <x:f>IF(I227=0,"PROJECTION ONLY","EDITORIAL ADJUSTMENT")</x:f>
        <x:v>PROJECTION ONLY</x:v>
      </x:c>
    </x:row>
    <x:row r="228">
      <x:c r="A228" s="26" t="str">
        <x:v>WR</x:v>
      </x:c>
      <x:c r="B228" s="26" t="n">
        <x:v>56</x:v>
      </x:c>
      <x:c r="C228" s="26" t="str">
        <x:v>Tre' Harris</x:v>
      </x:c>
      <x:c r="D228" s="26" t="str">
        <x:v>LAC</x:v>
      </x:c>
      <x:c r="E228" s="28" t="n">
        <x:v>100.8</x:v>
      </x:c>
      <x:c r="F228" s="28" t="str">
        <x:v>WR|56</x:v>
      </x:c>
      <x:c r="G228" s="28" t="n">
        <x:f>XLOOKUP(A228,'Assumptions'!$A$12:$A$15,'Assumptions'!$C$12:$C$15)</x:f>
        <x:v>110.6</x:v>
      </x:c>
      <x:c r="H228" s="28" t="n">
        <x:f>E228-G228</x:f>
        <x:v>-9.799999999999997</x:v>
      </x:c>
      <x:c r="I228" s="29" t="n">
        <x:v>0</x:v>
      </x:c>
      <x:c r="J228" s="28" t="n">
        <x:f>H228+I228</x:f>
        <x:v>-9.799999999999997</x:v>
      </x:c>
      <x:c r="K228" s="26" t="str">
        <x:v>Projection-only v1.0</x:v>
      </x:c>
      <x:c r="L228" s="26" t="n">
        <x:f>RANK.EQ(J228,$J$5:$J$619,0)</x:f>
        <x:v>125</x:v>
      </x:c>
      <x:c r="M228" s="26" t="str">
        <x:f>IF(I228=0,"PROJECTION ONLY","EDITORIAL ADJUSTMENT")</x:f>
        <x:v>PROJECTION ONLY</x:v>
      </x:c>
    </x:row>
    <x:row r="229">
      <x:c r="A229" s="26" t="str">
        <x:v>WR</x:v>
      </x:c>
      <x:c r="B229" s="26" t="n">
        <x:v>57</x:v>
      </x:c>
      <x:c r="C229" s="26" t="str">
        <x:v>Keenan Allen</x:v>
      </x:c>
      <x:c r="D229" s="26" t="str">
        <x:v>IND</x:v>
      </x:c>
      <x:c r="E229" s="28" t="n">
        <x:v>97.2</x:v>
      </x:c>
      <x:c r="F229" s="28" t="str">
        <x:v>WR|57</x:v>
      </x:c>
      <x:c r="G229" s="28" t="n">
        <x:f>XLOOKUP(A229,'Assumptions'!$A$12:$A$15,'Assumptions'!$C$12:$C$15)</x:f>
        <x:v>110.6</x:v>
      </x:c>
      <x:c r="H229" s="28" t="n">
        <x:f>E229-G229</x:f>
        <x:v>-13.399999999999991</x:v>
      </x:c>
      <x:c r="I229" s="29" t="n">
        <x:v>0</x:v>
      </x:c>
      <x:c r="J229" s="28" t="n">
        <x:f>H229+I229</x:f>
        <x:v>-13.399999999999991</x:v>
      </x:c>
      <x:c r="K229" s="26" t="str">
        <x:v>Projection-only v1.0</x:v>
      </x:c>
      <x:c r="L229" s="26" t="n">
        <x:f>RANK.EQ(J229,$J$5:$J$619,0)</x:f>
        <x:v>127</x:v>
      </x:c>
      <x:c r="M229" s="26" t="str">
        <x:f>IF(I229=0,"PROJECTION ONLY","EDITORIAL ADJUSTMENT")</x:f>
        <x:v>PROJECTION ONLY</x:v>
      </x:c>
    </x:row>
    <x:row r="230">
      <x:c r="A230" s="26" t="str">
        <x:v>WR</x:v>
      </x:c>
      <x:c r="B230" s="26" t="n">
        <x:v>58</x:v>
      </x:c>
      <x:c r="C230" s="26" t="str">
        <x:v>KC Concepcion</x:v>
      </x:c>
      <x:c r="D230" s="26" t="str">
        <x:v>CLE</x:v>
      </x:c>
      <x:c r="E230" s="28" t="n">
        <x:v>97</x:v>
      </x:c>
      <x:c r="F230" s="28" t="str">
        <x:v>WR|58</x:v>
      </x:c>
      <x:c r="G230" s="28" t="n">
        <x:f>XLOOKUP(A230,'Assumptions'!$A$12:$A$15,'Assumptions'!$C$12:$C$15)</x:f>
        <x:v>110.6</x:v>
      </x:c>
      <x:c r="H230" s="28" t="n">
        <x:f>E230-G230</x:f>
        <x:v>-13.599999999999994</x:v>
      </x:c>
      <x:c r="I230" s="29" t="n">
        <x:v>0</x:v>
      </x:c>
      <x:c r="J230" s="28" t="n">
        <x:f>H230+I230</x:f>
        <x:v>-13.599999999999994</x:v>
      </x:c>
      <x:c r="K230" s="26" t="str">
        <x:v>Projection-only v1.0</x:v>
      </x:c>
      <x:c r="L230" s="26" t="n">
        <x:f>RANK.EQ(J230,$J$5:$J$619,0)</x:f>
        <x:v>128</x:v>
      </x:c>
      <x:c r="M230" s="26" t="str">
        <x:f>IF(I230=0,"PROJECTION ONLY","EDITORIAL ADJUSTMENT")</x:f>
        <x:v>PROJECTION ONLY</x:v>
      </x:c>
    </x:row>
    <x:row r="231">
      <x:c r="A231" s="26" t="str">
        <x:v>WR</x:v>
      </x:c>
      <x:c r="B231" s="26" t="n">
        <x:v>59</x:v>
      </x:c>
      <x:c r="C231" s="26" t="str">
        <x:v>Calvin Ridley</x:v>
      </x:c>
      <x:c r="D231" s="26" t="str">
        <x:v>TEN</x:v>
      </x:c>
      <x:c r="E231" s="28" t="n">
        <x:v>98.8</x:v>
      </x:c>
      <x:c r="F231" s="28" t="str">
        <x:v>WR|59</x:v>
      </x:c>
      <x:c r="G231" s="28" t="n">
        <x:f>XLOOKUP(A231,'Assumptions'!$A$12:$A$15,'Assumptions'!$C$12:$C$15)</x:f>
        <x:v>110.6</x:v>
      </x:c>
      <x:c r="H231" s="28" t="n">
        <x:f>E231-G231</x:f>
        <x:v>-11.799999999999997</x:v>
      </x:c>
      <x:c r="I231" s="29" t="n">
        <x:v>0</x:v>
      </x:c>
      <x:c r="J231" s="28" t="n">
        <x:f>H231+I231</x:f>
        <x:v>-11.799999999999997</x:v>
      </x:c>
      <x:c r="K231" s="26" t="str">
        <x:v>Projection-only v1.0</x:v>
      </x:c>
      <x:c r="L231" s="26" t="n">
        <x:f>RANK.EQ(J231,$J$5:$J$619,0)</x:f>
        <x:v>126</x:v>
      </x:c>
      <x:c r="M231" s="26" t="str">
        <x:f>IF(I231=0,"PROJECTION ONLY","EDITORIAL ADJUSTMENT")</x:f>
        <x:v>PROJECTION ONLY</x:v>
      </x:c>
    </x:row>
    <x:row r="232">
      <x:c r="A232" s="26" t="str">
        <x:v>WR</x:v>
      </x:c>
      <x:c r="B232" s="26" t="n">
        <x:v>60</x:v>
      </x:c>
      <x:c r="C232" s="26" t="str">
        <x:v>Jalen Nailor</x:v>
      </x:c>
      <x:c r="D232" s="26" t="str">
        <x:v>LV</x:v>
      </x:c>
      <x:c r="E232" s="28" t="n">
        <x:v>95.2</x:v>
      </x:c>
      <x:c r="F232" s="28" t="str">
        <x:v>WR|60</x:v>
      </x:c>
      <x:c r="G232" s="28" t="n">
        <x:f>XLOOKUP(A232,'Assumptions'!$A$12:$A$15,'Assumptions'!$C$12:$C$15)</x:f>
        <x:v>110.6</x:v>
      </x:c>
      <x:c r="H232" s="28" t="n">
        <x:f>E232-G232</x:f>
        <x:v>-15.399999999999991</x:v>
      </x:c>
      <x:c r="I232" s="29" t="n">
        <x:v>0</x:v>
      </x:c>
      <x:c r="J232" s="28" t="n">
        <x:f>H232+I232</x:f>
        <x:v>-15.399999999999991</x:v>
      </x:c>
      <x:c r="K232" s="26" t="str">
        <x:v>Projection-only v1.0</x:v>
      </x:c>
      <x:c r="L232" s="26" t="n">
        <x:f>RANK.EQ(J232,$J$5:$J$619,0)</x:f>
        <x:v>131</x:v>
      </x:c>
      <x:c r="M232" s="26" t="str">
        <x:f>IF(I232=0,"PROJECTION ONLY","EDITORIAL ADJUSTMENT")</x:f>
        <x:v>PROJECTION ONLY</x:v>
      </x:c>
    </x:row>
    <x:row r="233">
      <x:c r="A233" s="26" t="str">
        <x:v>WR</x:v>
      </x:c>
      <x:c r="B233" s="26" t="n">
        <x:v>61</x:v>
      </x:c>
      <x:c r="C233" s="26" t="str">
        <x:v>Makai Lemon</x:v>
      </x:c>
      <x:c r="D233" s="26" t="str">
        <x:v>PHI</x:v>
      </x:c>
      <x:c r="E233" s="28" t="n">
        <x:v>89.3</x:v>
      </x:c>
      <x:c r="F233" s="28" t="str">
        <x:v>WR|61</x:v>
      </x:c>
      <x:c r="G233" s="28" t="n">
        <x:f>XLOOKUP(A233,'Assumptions'!$A$12:$A$15,'Assumptions'!$C$12:$C$15)</x:f>
        <x:v>110.6</x:v>
      </x:c>
      <x:c r="H233" s="28" t="n">
        <x:f>E233-G233</x:f>
        <x:v>-21.299999999999997</x:v>
      </x:c>
      <x:c r="I233" s="29" t="n">
        <x:v>0</x:v>
      </x:c>
      <x:c r="J233" s="28" t="n">
        <x:f>H233+I233</x:f>
        <x:v>-21.299999999999997</x:v>
      </x:c>
      <x:c r="K233" s="26" t="str">
        <x:v>Projection-only v1.0</x:v>
      </x:c>
      <x:c r="L233" s="26" t="n">
        <x:f>RANK.EQ(J233,$J$5:$J$619,0)</x:f>
        <x:v>140</x:v>
      </x:c>
      <x:c r="M233" s="26" t="str">
        <x:f>IF(I233=0,"PROJECTION ONLY","EDITORIAL ADJUSTMENT")</x:f>
        <x:v>PROJECTION ONLY</x:v>
      </x:c>
    </x:row>
    <x:row r="234">
      <x:c r="A234" s="26" t="str">
        <x:v>WR</x:v>
      </x:c>
      <x:c r="B234" s="26" t="n">
        <x:v>62</x:v>
      </x:c>
      <x:c r="C234" s="26" t="str">
        <x:v>John Metchie III</x:v>
      </x:c>
      <x:c r="D234" s="26" t="str">
        <x:v>CAR</x:v>
      </x:c>
      <x:c r="E234" s="28" t="n">
        <x:v>81.6</x:v>
      </x:c>
      <x:c r="F234" s="28" t="str">
        <x:v>WR|62</x:v>
      </x:c>
      <x:c r="G234" s="28" t="n">
        <x:f>XLOOKUP(A234,'Assumptions'!$A$12:$A$15,'Assumptions'!$C$12:$C$15)</x:f>
        <x:v>110.6</x:v>
      </x:c>
      <x:c r="H234" s="28" t="n">
        <x:f>E234-G234</x:f>
        <x:v>-29</x:v>
      </x:c>
      <x:c r="I234" s="29" t="n">
        <x:v>0</x:v>
      </x:c>
      <x:c r="J234" s="28" t="n">
        <x:f>H234+I234</x:f>
        <x:v>-29</x:v>
      </x:c>
      <x:c r="K234" s="26" t="str">
        <x:v>Projection-only v1.0</x:v>
      </x:c>
      <x:c r="L234" s="26" t="n">
        <x:f>RANK.EQ(J234,$J$5:$J$619,0)</x:f>
        <x:v>152</x:v>
      </x:c>
      <x:c r="M234" s="26" t="str">
        <x:f>IF(I234=0,"PROJECTION ONLY","EDITORIAL ADJUSTMENT")</x:f>
        <x:v>PROJECTION ONLY</x:v>
      </x:c>
    </x:row>
    <x:row r="235">
      <x:c r="A235" s="26" t="str">
        <x:v>WR</x:v>
      </x:c>
      <x:c r="B235" s="26" t="n">
        <x:v>63</x:v>
      </x:c>
      <x:c r="C235" s="26" t="str">
        <x:v>Zachariah Branch</x:v>
      </x:c>
      <x:c r="D235" s="26" t="str">
        <x:v>ATL</x:v>
      </x:c>
      <x:c r="E235" s="28" t="n">
        <x:v>82</x:v>
      </x:c>
      <x:c r="F235" s="28" t="str">
        <x:v>WR|63</x:v>
      </x:c>
      <x:c r="G235" s="28" t="n">
        <x:f>XLOOKUP(A235,'Assumptions'!$A$12:$A$15,'Assumptions'!$C$12:$C$15)</x:f>
        <x:v>110.6</x:v>
      </x:c>
      <x:c r="H235" s="28" t="n">
        <x:f>E235-G235</x:f>
        <x:v>-28.599999999999994</x:v>
      </x:c>
      <x:c r="I235" s="29" t="n">
        <x:v>0</x:v>
      </x:c>
      <x:c r="J235" s="28" t="n">
        <x:f>H235+I235</x:f>
        <x:v>-28.599999999999994</x:v>
      </x:c>
      <x:c r="K235" s="26" t="str">
        <x:v>Projection-only v1.0</x:v>
      </x:c>
      <x:c r="L235" s="26" t="n">
        <x:f>RANK.EQ(J235,$J$5:$J$619,0)</x:f>
        <x:v>151</x:v>
      </x:c>
      <x:c r="M235" s="26" t="str">
        <x:f>IF(I235=0,"PROJECTION ONLY","EDITORIAL ADJUSTMENT")</x:f>
        <x:v>PROJECTION ONLY</x:v>
      </x:c>
    </x:row>
    <x:row r="236">
      <x:c r="A236" s="26" t="str">
        <x:v>WR</x:v>
      </x:c>
      <x:c r="B236" s="26" t="n">
        <x:v>64</x:v>
      </x:c>
      <x:c r="C236" s="26" t="str">
        <x:v>Jayden Higgins</x:v>
      </x:c>
      <x:c r="D236" s="26" t="str">
        <x:v>HOU</x:v>
      </x:c>
      <x:c r="E236" s="28" t="n">
        <x:v>83.9</x:v>
      </x:c>
      <x:c r="F236" s="28" t="str">
        <x:v>WR|64</x:v>
      </x:c>
      <x:c r="G236" s="28" t="n">
        <x:f>XLOOKUP(A236,'Assumptions'!$A$12:$A$15,'Assumptions'!$C$12:$C$15)</x:f>
        <x:v>110.6</x:v>
      </x:c>
      <x:c r="H236" s="28" t="n">
        <x:f>E236-G236</x:f>
        <x:v>-26.69999999999999</x:v>
      </x:c>
      <x:c r="I236" s="29" t="n">
        <x:v>0</x:v>
      </x:c>
      <x:c r="J236" s="28" t="n">
        <x:f>H236+I236</x:f>
        <x:v>-26.69999999999999</x:v>
      </x:c>
      <x:c r="K236" s="26" t="str">
        <x:v>Projection-only v1.0</x:v>
      </x:c>
      <x:c r="L236" s="26" t="n">
        <x:f>RANK.EQ(J236,$J$5:$J$619,0)</x:f>
        <x:v>147</x:v>
      </x:c>
      <x:c r="M236" s="26" t="str">
        <x:f>IF(I236=0,"PROJECTION ONLY","EDITORIAL ADJUSTMENT")</x:f>
        <x:v>PROJECTION ONLY</x:v>
      </x:c>
    </x:row>
    <x:row r="237">
      <x:c r="A237" s="26" t="str">
        <x:v>WR</x:v>
      </x:c>
      <x:c r="B237" s="26" t="n">
        <x:v>65</x:v>
      </x:c>
      <x:c r="C237" s="26" t="str">
        <x:v>Deebo Samuel Sr.</x:v>
      </x:c>
      <x:c r="D237" s="26" t="str">
        <x:v>SF</x:v>
      </x:c>
      <x:c r="E237" s="28" t="n">
        <x:v>85.4</x:v>
      </x:c>
      <x:c r="F237" s="28" t="str">
        <x:v>WR|65</x:v>
      </x:c>
      <x:c r="G237" s="28" t="n">
        <x:f>XLOOKUP(A237,'Assumptions'!$A$12:$A$15,'Assumptions'!$C$12:$C$15)</x:f>
        <x:v>110.6</x:v>
      </x:c>
      <x:c r="H237" s="28" t="n">
        <x:f>E237-G237</x:f>
        <x:v>-25.19999999999999</x:v>
      </x:c>
      <x:c r="I237" s="29" t="n">
        <x:v>0</x:v>
      </x:c>
      <x:c r="J237" s="28" t="n">
        <x:f>H237+I237</x:f>
        <x:v>-25.19999999999999</x:v>
      </x:c>
      <x:c r="K237" s="26" t="str">
        <x:v>Projection-only v1.0</x:v>
      </x:c>
      <x:c r="L237" s="26" t="n">
        <x:f>RANK.EQ(J237,$J$5:$J$619,0)</x:f>
        <x:v>145</x:v>
      </x:c>
      <x:c r="M237" s="26" t="str">
        <x:f>IF(I237=0,"PROJECTION ONLY","EDITORIAL ADJUSTMENT")</x:f>
        <x:v>PROJECTION ONLY</x:v>
      </x:c>
    </x:row>
    <x:row r="238">
      <x:c r="A238" s="26" t="str">
        <x:v>WR</x:v>
      </x:c>
      <x:c r="B238" s="26" t="n">
        <x:v>66</x:v>
      </x:c>
      <x:c r="C238" s="26" t="str">
        <x:v>Jalen Coker</x:v>
      </x:c>
      <x:c r="D238" s="26" t="str">
        <x:v>CAR</x:v>
      </x:c>
      <x:c r="E238" s="28" t="n">
        <x:v>80.6</x:v>
      </x:c>
      <x:c r="F238" s="28" t="str">
        <x:v>WR|66</x:v>
      </x:c>
      <x:c r="G238" s="28" t="n">
        <x:f>XLOOKUP(A238,'Assumptions'!$A$12:$A$15,'Assumptions'!$C$12:$C$15)</x:f>
        <x:v>110.6</x:v>
      </x:c>
      <x:c r="H238" s="28" t="n">
        <x:f>E238-G238</x:f>
        <x:v>-30</x:v>
      </x:c>
      <x:c r="I238" s="29" t="n">
        <x:v>0</x:v>
      </x:c>
      <x:c r="J238" s="28" t="n">
        <x:f>H238+I238</x:f>
        <x:v>-30</x:v>
      </x:c>
      <x:c r="K238" s="26" t="str">
        <x:v>Projection-only v1.0</x:v>
      </x:c>
      <x:c r="L238" s="26" t="n">
        <x:f>RANK.EQ(J238,$J$5:$J$619,0)</x:f>
        <x:v>155</x:v>
      </x:c>
      <x:c r="M238" s="26" t="str">
        <x:f>IF(I238=0,"PROJECTION ONLY","EDITORIAL ADJUSTMENT")</x:f>
        <x:v>PROJECTION ONLY</x:v>
      </x:c>
    </x:row>
    <x:row r="239">
      <x:c r="A239" s="26" t="str">
        <x:v>WR</x:v>
      </x:c>
      <x:c r="B239" s="26" t="n">
        <x:v>67</x:v>
      </x:c>
      <x:c r="C239" s="26" t="str">
        <x:v>Romeo Doubs</x:v>
      </x:c>
      <x:c r="D239" s="26" t="str">
        <x:v>NE</x:v>
      </x:c>
      <x:c r="E239" s="28" t="n">
        <x:v>82.2</x:v>
      </x:c>
      <x:c r="F239" s="28" t="str">
        <x:v>WR|67</x:v>
      </x:c>
      <x:c r="G239" s="28" t="n">
        <x:f>XLOOKUP(A239,'Assumptions'!$A$12:$A$15,'Assumptions'!$C$12:$C$15)</x:f>
        <x:v>110.6</x:v>
      </x:c>
      <x:c r="H239" s="28" t="n">
        <x:f>E239-G239</x:f>
        <x:v>-28.39999999999999</x:v>
      </x:c>
      <x:c r="I239" s="29" t="n">
        <x:v>0</x:v>
      </x:c>
      <x:c r="J239" s="28" t="n">
        <x:f>H239+I239</x:f>
        <x:v>-28.39999999999999</x:v>
      </x:c>
      <x:c r="K239" s="26" t="str">
        <x:v>Projection-only v1.0</x:v>
      </x:c>
      <x:c r="L239" s="26" t="n">
        <x:f>RANK.EQ(J239,$J$5:$J$619,0)</x:f>
        <x:v>150</x:v>
      </x:c>
      <x:c r="M239" s="26" t="str">
        <x:f>IF(I239=0,"PROJECTION ONLY","EDITORIAL ADJUSTMENT")</x:f>
        <x:v>PROJECTION ONLY</x:v>
      </x:c>
    </x:row>
    <x:row r="240">
      <x:c r="A240" s="26" t="str">
        <x:v>WR</x:v>
      </x:c>
      <x:c r="B240" s="26" t="n">
        <x:v>68</x:v>
      </x:c>
      <x:c r="C240" s="26" t="str">
        <x:v>Tank Dell</x:v>
      </x:c>
      <x:c r="D240" s="26" t="str">
        <x:v>HOU</x:v>
      </x:c>
      <x:c r="E240" s="28" t="n">
        <x:v>80.8</x:v>
      </x:c>
      <x:c r="F240" s="28" t="str">
        <x:v>WR|68</x:v>
      </x:c>
      <x:c r="G240" s="28" t="n">
        <x:f>XLOOKUP(A240,'Assumptions'!$A$12:$A$15,'Assumptions'!$C$12:$C$15)</x:f>
        <x:v>110.6</x:v>
      </x:c>
      <x:c r="H240" s="28" t="n">
        <x:f>E240-G240</x:f>
        <x:v>-29.799999999999997</x:v>
      </x:c>
      <x:c r="I240" s="29" t="n">
        <x:v>0</x:v>
      </x:c>
      <x:c r="J240" s="28" t="n">
        <x:f>H240+I240</x:f>
        <x:v>-29.799999999999997</x:v>
      </x:c>
      <x:c r="K240" s="26" t="str">
        <x:v>Projection-only v1.0</x:v>
      </x:c>
      <x:c r="L240" s="26" t="n">
        <x:f>RANK.EQ(J240,$J$5:$J$619,0)</x:f>
        <x:v>154</x:v>
      </x:c>
      <x:c r="M240" s="26" t="str">
        <x:f>IF(I240=0,"PROJECTION ONLY","EDITORIAL ADJUSTMENT")</x:f>
        <x:v>PROJECTION ONLY</x:v>
      </x:c>
    </x:row>
    <x:row r="241">
      <x:c r="A241" s="26" t="str">
        <x:v>WR</x:v>
      </x:c>
      <x:c r="B241" s="26" t="n">
        <x:v>69</x:v>
      </x:c>
      <x:c r="C241" s="26" t="str">
        <x:v>Omar Cooper Jr.</x:v>
      </x:c>
      <x:c r="D241" s="26" t="str">
        <x:v>NYJ</x:v>
      </x:c>
      <x:c r="E241" s="28" t="n">
        <x:v>75.8</x:v>
      </x:c>
      <x:c r="F241" s="28" t="str">
        <x:v>WR|69</x:v>
      </x:c>
      <x:c r="G241" s="28" t="n">
        <x:f>XLOOKUP(A241,'Assumptions'!$A$12:$A$15,'Assumptions'!$C$12:$C$15)</x:f>
        <x:v>110.6</x:v>
      </x:c>
      <x:c r="H241" s="28" t="n">
        <x:f>E241-G241</x:f>
        <x:v>-34.8</x:v>
      </x:c>
      <x:c r="I241" s="29" t="n">
        <x:v>0</x:v>
      </x:c>
      <x:c r="J241" s="28" t="n">
        <x:f>H241+I241</x:f>
        <x:v>-34.8</x:v>
      </x:c>
      <x:c r="K241" s="26" t="str">
        <x:v>Projection-only v1.0</x:v>
      </x:c>
      <x:c r="L241" s="26" t="n">
        <x:f>RANK.EQ(J241,$J$5:$J$619,0)</x:f>
        <x:v>163</x:v>
      </x:c>
      <x:c r="M241" s="26" t="str">
        <x:f>IF(I241=0,"PROJECTION ONLY","EDITORIAL ADJUSTMENT")</x:f>
        <x:v>PROJECTION ONLY</x:v>
      </x:c>
    </x:row>
    <x:row r="242">
      <x:c r="A242" s="26" t="str">
        <x:v>WR</x:v>
      </x:c>
      <x:c r="B242" s="26" t="n">
        <x:v>70</x:v>
      </x:c>
      <x:c r="C242" s="26" t="str">
        <x:v>Jalen McMillan</x:v>
      </x:c>
      <x:c r="D242" s="26" t="str">
        <x:v>TB</x:v>
      </x:c>
      <x:c r="E242" s="28" t="n">
        <x:v>79.5</x:v>
      </x:c>
      <x:c r="F242" s="28" t="str">
        <x:v>WR|70</x:v>
      </x:c>
      <x:c r="G242" s="28" t="n">
        <x:f>XLOOKUP(A242,'Assumptions'!$A$12:$A$15,'Assumptions'!$C$12:$C$15)</x:f>
        <x:v>110.6</x:v>
      </x:c>
      <x:c r="H242" s="28" t="n">
        <x:f>E242-G242</x:f>
        <x:v>-31.099999999999994</x:v>
      </x:c>
      <x:c r="I242" s="29" t="n">
        <x:v>0</x:v>
      </x:c>
      <x:c r="J242" s="28" t="n">
        <x:f>H242+I242</x:f>
        <x:v>-31.099999999999994</x:v>
      </x:c>
      <x:c r="K242" s="26" t="str">
        <x:v>Projection-only v1.0</x:v>
      </x:c>
      <x:c r="L242" s="26" t="n">
        <x:f>RANK.EQ(J242,$J$5:$J$619,0)</x:f>
        <x:v>158</x:v>
      </x:c>
      <x:c r="M242" s="26" t="str">
        <x:f>IF(I242=0,"PROJECTION ONLY","EDITORIAL ADJUSTMENT")</x:f>
        <x:v>PROJECTION ONLY</x:v>
      </x:c>
    </x:row>
    <x:row r="243">
      <x:c r="A243" s="26" t="str">
        <x:v>WR</x:v>
      </x:c>
      <x:c r="B243" s="26" t="n">
        <x:v>71</x:v>
      </x:c>
      <x:c r="C243" s="26" t="str">
        <x:v>Andrei Iosivas</x:v>
      </x:c>
      <x:c r="D243" s="26" t="str">
        <x:v>CIN</x:v>
      </x:c>
      <x:c r="E243" s="28" t="n">
        <x:v>74.9</x:v>
      </x:c>
      <x:c r="F243" s="28" t="str">
        <x:v>WR|71</x:v>
      </x:c>
      <x:c r="G243" s="28" t="n">
        <x:f>XLOOKUP(A243,'Assumptions'!$A$12:$A$15,'Assumptions'!$C$12:$C$15)</x:f>
        <x:v>110.6</x:v>
      </x:c>
      <x:c r="H243" s="28" t="n">
        <x:f>E243-G243</x:f>
        <x:v>-35.69999999999999</x:v>
      </x:c>
      <x:c r="I243" s="29" t="n">
        <x:v>0</x:v>
      </x:c>
      <x:c r="J243" s="28" t="n">
        <x:f>H243+I243</x:f>
        <x:v>-35.69999999999999</x:v>
      </x:c>
      <x:c r="K243" s="26" t="str">
        <x:v>Projection-only v1.0</x:v>
      </x:c>
      <x:c r="L243" s="26" t="n">
        <x:f>RANK.EQ(J243,$J$5:$J$619,0)</x:f>
        <x:v>164</x:v>
      </x:c>
      <x:c r="M243" s="26" t="str">
        <x:f>IF(I243=0,"PROJECTION ONLY","EDITORIAL ADJUSTMENT")</x:f>
        <x:v>PROJECTION ONLY</x:v>
      </x:c>
    </x:row>
    <x:row r="244">
      <x:c r="A244" s="26" t="str">
        <x:v>WR</x:v>
      </x:c>
      <x:c r="B244" s="26" t="n">
        <x:v>72</x:v>
      </x:c>
      <x:c r="C244" s="26" t="str">
        <x:v>Rashod Bateman</x:v>
      </x:c>
      <x:c r="D244" s="26" t="str">
        <x:v>BAL</x:v>
      </x:c>
      <x:c r="E244" s="28" t="n">
        <x:v>76.6</x:v>
      </x:c>
      <x:c r="F244" s="28" t="str">
        <x:v>WR|72</x:v>
      </x:c>
      <x:c r="G244" s="28" t="n">
        <x:f>XLOOKUP(A244,'Assumptions'!$A$12:$A$15,'Assumptions'!$C$12:$C$15)</x:f>
        <x:v>110.6</x:v>
      </x:c>
      <x:c r="H244" s="28" t="n">
        <x:f>E244-G244</x:f>
        <x:v>-34</x:v>
      </x:c>
      <x:c r="I244" s="29" t="n">
        <x:v>0</x:v>
      </x:c>
      <x:c r="J244" s="28" t="n">
        <x:f>H244+I244</x:f>
        <x:v>-34</x:v>
      </x:c>
      <x:c r="K244" s="26" t="str">
        <x:v>Projection-only v1.0</x:v>
      </x:c>
      <x:c r="L244" s="26" t="n">
        <x:f>RANK.EQ(J244,$J$5:$J$619,0)</x:f>
        <x:v>162</x:v>
      </x:c>
      <x:c r="M244" s="26" t="str">
        <x:f>IF(I244=0,"PROJECTION ONLY","EDITORIAL ADJUSTMENT")</x:f>
        <x:v>PROJECTION ONLY</x:v>
      </x:c>
    </x:row>
    <x:row r="245">
      <x:c r="A245" s="26" t="str">
        <x:v>WR</x:v>
      </x:c>
      <x:c r="B245" s="26" t="n">
        <x:v>73</x:v>
      </x:c>
      <x:c r="C245" s="26" t="str">
        <x:v>Malik Washington</x:v>
      </x:c>
      <x:c r="D245" s="26" t="str">
        <x:v>MIA</x:v>
      </x:c>
      <x:c r="E245" s="28" t="n">
        <x:v>72</x:v>
      </x:c>
      <x:c r="F245" s="28" t="str">
        <x:v>WR|73</x:v>
      </x:c>
      <x:c r="G245" s="28" t="n">
        <x:f>XLOOKUP(A245,'Assumptions'!$A$12:$A$15,'Assumptions'!$C$12:$C$15)</x:f>
        <x:v>110.6</x:v>
      </x:c>
      <x:c r="H245" s="28" t="n">
        <x:f>E245-G245</x:f>
        <x:v>-38.599999999999994</x:v>
      </x:c>
      <x:c r="I245" s="29" t="n">
        <x:v>0</x:v>
      </x:c>
      <x:c r="J245" s="28" t="n">
        <x:f>H245+I245</x:f>
        <x:v>-38.599999999999994</x:v>
      </x:c>
      <x:c r="K245" s="26" t="str">
        <x:v>Projection-only v1.0</x:v>
      </x:c>
      <x:c r="L245" s="26" t="n">
        <x:f>RANK.EQ(J245,$J$5:$J$619,0)</x:f>
        <x:v>171</x:v>
      </x:c>
      <x:c r="M245" s="26" t="str">
        <x:f>IF(I245=0,"PROJECTION ONLY","EDITORIAL ADJUSTMENT")</x:f>
        <x:v>PROJECTION ONLY</x:v>
      </x:c>
    </x:row>
    <x:row r="246">
      <x:c r="A246" s="26" t="str">
        <x:v>WR</x:v>
      </x:c>
      <x:c r="B246" s="26" t="n">
        <x:v>74</x:v>
      </x:c>
      <x:c r="C246" s="26" t="str">
        <x:v>Ted Hurst</x:v>
      </x:c>
      <x:c r="D246" s="26" t="str">
        <x:v>TB</x:v>
      </x:c>
      <x:c r="E246" s="28" t="n">
        <x:v>73.2</x:v>
      </x:c>
      <x:c r="F246" s="28" t="str">
        <x:v>WR|74</x:v>
      </x:c>
      <x:c r="G246" s="28" t="n">
        <x:f>XLOOKUP(A246,'Assumptions'!$A$12:$A$15,'Assumptions'!$C$12:$C$15)</x:f>
        <x:v>110.6</x:v>
      </x:c>
      <x:c r="H246" s="28" t="n">
        <x:f>E246-G246</x:f>
        <x:v>-37.39999999999999</x:v>
      </x:c>
      <x:c r="I246" s="29" t="n">
        <x:v>0</x:v>
      </x:c>
      <x:c r="J246" s="28" t="n">
        <x:f>H246+I246</x:f>
        <x:v>-37.39999999999999</x:v>
      </x:c>
      <x:c r="K246" s="26" t="str">
        <x:v>Projection-only v1.0</x:v>
      </x:c>
      <x:c r="L246" s="26" t="n">
        <x:f>RANK.EQ(J246,$J$5:$J$619,0)</x:f>
        <x:v>167</x:v>
      </x:c>
      <x:c r="M246" s="26" t="str">
        <x:f>IF(I246=0,"PROJECTION ONLY","EDITORIAL ADJUSTMENT")</x:f>
        <x:v>PROJECTION ONLY</x:v>
      </x:c>
    </x:row>
    <x:row r="247">
      <x:c r="A247" s="26" t="str">
        <x:v>WR</x:v>
      </x:c>
      <x:c r="B247" s="26" t="n">
        <x:v>75</x:v>
      </x:c>
      <x:c r="C247" s="26" t="str">
        <x:v>Theo Wease Jr.</x:v>
      </x:c>
      <x:c r="D247" s="26" t="str">
        <x:v>MIA</x:v>
      </x:c>
      <x:c r="E247" s="28" t="n">
        <x:v>72.8</x:v>
      </x:c>
      <x:c r="F247" s="28" t="str">
        <x:v>WR|75</x:v>
      </x:c>
      <x:c r="G247" s="28" t="n">
        <x:f>XLOOKUP(A247,'Assumptions'!$A$12:$A$15,'Assumptions'!$C$12:$C$15)</x:f>
        <x:v>110.6</x:v>
      </x:c>
      <x:c r="H247" s="28" t="n">
        <x:f>E247-G247</x:f>
        <x:v>-37.8</x:v>
      </x:c>
      <x:c r="I247" s="29" t="n">
        <x:v>0</x:v>
      </x:c>
      <x:c r="J247" s="28" t="n">
        <x:f>H247+I247</x:f>
        <x:v>-37.8</x:v>
      </x:c>
      <x:c r="K247" s="26" t="str">
        <x:v>Projection-only v1.0</x:v>
      </x:c>
      <x:c r="L247" s="26" t="n">
        <x:f>RANK.EQ(J247,$J$5:$J$619,0)</x:f>
        <x:v>169</x:v>
      </x:c>
      <x:c r="M247" s="26" t="str">
        <x:f>IF(I247=0,"PROJECTION ONLY","EDITORIAL ADJUSTMENT")</x:f>
        <x:v>PROJECTION ONLY</x:v>
      </x:c>
    </x:row>
    <x:row r="248">
      <x:c r="A248" s="26" t="str">
        <x:v>WR</x:v>
      </x:c>
      <x:c r="B248" s="26" t="n">
        <x:v>76</x:v>
      </x:c>
      <x:c r="C248" s="26" t="str">
        <x:v>Germie Bernard</x:v>
      </x:c>
      <x:c r="D248" s="26" t="str">
        <x:v>PIT</x:v>
      </x:c>
      <x:c r="E248" s="28" t="n">
        <x:v>68</x:v>
      </x:c>
      <x:c r="F248" s="28" t="str">
        <x:v>WR|76</x:v>
      </x:c>
      <x:c r="G248" s="28" t="n">
        <x:f>XLOOKUP(A248,'Assumptions'!$A$12:$A$15,'Assumptions'!$C$12:$C$15)</x:f>
        <x:v>110.6</x:v>
      </x:c>
      <x:c r="H248" s="28" t="n">
        <x:f>E248-G248</x:f>
        <x:v>-42.599999999999994</x:v>
      </x:c>
      <x:c r="I248" s="29" t="n">
        <x:v>0</x:v>
      </x:c>
      <x:c r="J248" s="28" t="n">
        <x:f>H248+I248</x:f>
        <x:v>-42.599999999999994</x:v>
      </x:c>
      <x:c r="K248" s="26" t="str">
        <x:v>Projection-only v1.0</x:v>
      </x:c>
      <x:c r="L248" s="26" t="n">
        <x:f>RANK.EQ(J248,$J$5:$J$619,0)</x:f>
        <x:v>175</x:v>
      </x:c>
      <x:c r="M248" s="26" t="str">
        <x:f>IF(I248=0,"PROJECTION ONLY","EDITORIAL ADJUSTMENT")</x:f>
        <x:v>PROJECTION ONLY</x:v>
      </x:c>
    </x:row>
    <x:row r="249">
      <x:c r="A249" s="26" t="str">
        <x:v>WR</x:v>
      </x:c>
      <x:c r="B249" s="26" t="n">
        <x:v>77</x:v>
      </x:c>
      <x:c r="C249" s="26" t="str">
        <x:v>Christian Kirk</x:v>
      </x:c>
      <x:c r="D249" s="26" t="str">
        <x:v>SF</x:v>
      </x:c>
      <x:c r="E249" s="28" t="n">
        <x:v>68.2</x:v>
      </x:c>
      <x:c r="F249" s="28" t="str">
        <x:v>WR|77</x:v>
      </x:c>
      <x:c r="G249" s="28" t="n">
        <x:f>XLOOKUP(A249,'Assumptions'!$A$12:$A$15,'Assumptions'!$C$12:$C$15)</x:f>
        <x:v>110.6</x:v>
      </x:c>
      <x:c r="H249" s="28" t="n">
        <x:f>E249-G249</x:f>
        <x:v>-42.39999999999999</x:v>
      </x:c>
      <x:c r="I249" s="29" t="n">
        <x:v>0</x:v>
      </x:c>
      <x:c r="J249" s="28" t="n">
        <x:f>H249+I249</x:f>
        <x:v>-42.39999999999999</x:v>
      </x:c>
      <x:c r="K249" s="26" t="str">
        <x:v>Projection-only v1.0</x:v>
      </x:c>
      <x:c r="L249" s="26" t="n">
        <x:f>RANK.EQ(J249,$J$5:$J$619,0)</x:f>
        <x:v>174</x:v>
      </x:c>
      <x:c r="M249" s="26" t="str">
        <x:f>IF(I249=0,"PROJECTION ONLY","EDITORIAL ADJUSTMENT")</x:f>
        <x:v>PROJECTION ONLY</x:v>
      </x:c>
    </x:row>
    <x:row r="250">
      <x:c r="A250" s="26" t="str">
        <x:v>WR</x:v>
      </x:c>
      <x:c r="B250" s="26" t="n">
        <x:v>78</x:v>
      </x:c>
      <x:c r="C250" s="26" t="str">
        <x:v>De'Zhaun Stribling</x:v>
      </x:c>
      <x:c r="D250" s="26" t="str">
        <x:v>SF</x:v>
      </x:c>
      <x:c r="E250" s="28" t="n">
        <x:v>66.2</x:v>
      </x:c>
      <x:c r="F250" s="28" t="str">
        <x:v>WR|78</x:v>
      </x:c>
      <x:c r="G250" s="28" t="n">
        <x:f>XLOOKUP(A250,'Assumptions'!$A$12:$A$15,'Assumptions'!$C$12:$C$15)</x:f>
        <x:v>110.6</x:v>
      </x:c>
      <x:c r="H250" s="28" t="n">
        <x:f>E250-G250</x:f>
        <x:v>-44.39999999999999</x:v>
      </x:c>
      <x:c r="I250" s="29" t="n">
        <x:v>0</x:v>
      </x:c>
      <x:c r="J250" s="28" t="n">
        <x:f>H250+I250</x:f>
        <x:v>-44.39999999999999</x:v>
      </x:c>
      <x:c r="K250" s="26" t="str">
        <x:v>Projection-only v1.0</x:v>
      </x:c>
      <x:c r="L250" s="26" t="n">
        <x:f>RANK.EQ(J250,$J$5:$J$619,0)</x:f>
        <x:v>181</x:v>
      </x:c>
      <x:c r="M250" s="26" t="str">
        <x:f>IF(I250=0,"PROJECTION ONLY","EDITORIAL ADJUSTMENT")</x:f>
        <x:v>PROJECTION ONLY</x:v>
      </x:c>
    </x:row>
    <x:row r="251">
      <x:c r="A251" s="26" t="str">
        <x:v>WR</x:v>
      </x:c>
      <x:c r="B251" s="26" t="n">
        <x:v>79</x:v>
      </x:c>
      <x:c r="C251" s="26" t="str">
        <x:v>Troy Franklin</x:v>
      </x:c>
      <x:c r="D251" s="26" t="str">
        <x:v>DEN</x:v>
      </x:c>
      <x:c r="E251" s="28" t="n">
        <x:v>64.9</x:v>
      </x:c>
      <x:c r="F251" s="28" t="str">
        <x:v>WR|79</x:v>
      </x:c>
      <x:c r="G251" s="28" t="n">
        <x:f>XLOOKUP(A251,'Assumptions'!$A$12:$A$15,'Assumptions'!$C$12:$C$15)</x:f>
        <x:v>110.6</x:v>
      </x:c>
      <x:c r="H251" s="28" t="n">
        <x:f>E251-G251</x:f>
        <x:v>-45.69999999999999</x:v>
      </x:c>
      <x:c r="I251" s="29" t="n">
        <x:v>0</x:v>
      </x:c>
      <x:c r="J251" s="28" t="n">
        <x:f>H251+I251</x:f>
        <x:v>-45.69999999999999</x:v>
      </x:c>
      <x:c r="K251" s="26" t="str">
        <x:v>Projection-only v1.0</x:v>
      </x:c>
      <x:c r="L251" s="26" t="n">
        <x:f>RANK.EQ(J251,$J$5:$J$619,0)</x:f>
        <x:v>186</x:v>
      </x:c>
      <x:c r="M251" s="26" t="str">
        <x:f>IF(I251=0,"PROJECTION ONLY","EDITORIAL ADJUSTMENT")</x:f>
        <x:v>PROJECTION ONLY</x:v>
      </x:c>
    </x:row>
    <x:row r="252">
      <x:c r="A252" s="26" t="str">
        <x:v>WR</x:v>
      </x:c>
      <x:c r="B252" s="26" t="n">
        <x:v>80</x:v>
      </x:c>
      <x:c r="C252" s="26" t="str">
        <x:v>Malik Benson</x:v>
      </x:c>
      <x:c r="D252" s="26" t="str">
        <x:v>LV</x:v>
      </x:c>
      <x:c r="E252" s="28" t="n">
        <x:v>64.1</x:v>
      </x:c>
      <x:c r="F252" s="28" t="str">
        <x:v>WR|80</x:v>
      </x:c>
      <x:c r="G252" s="28" t="n">
        <x:f>XLOOKUP(A252,'Assumptions'!$A$12:$A$15,'Assumptions'!$C$12:$C$15)</x:f>
        <x:v>110.6</x:v>
      </x:c>
      <x:c r="H252" s="28" t="n">
        <x:f>E252-G252</x:f>
        <x:v>-46.5</x:v>
      </x:c>
      <x:c r="I252" s="29" t="n">
        <x:v>0</x:v>
      </x:c>
      <x:c r="J252" s="28" t="n">
        <x:f>H252+I252</x:f>
        <x:v>-46.5</x:v>
      </x:c>
      <x:c r="K252" s="26" t="str">
        <x:v>Projection-only v1.0</x:v>
      </x:c>
      <x:c r="L252" s="26" t="n">
        <x:f>RANK.EQ(J252,$J$5:$J$619,0)</x:f>
        <x:v>189</x:v>
      </x:c>
      <x:c r="M252" s="26" t="str">
        <x:f>IF(I252=0,"PROJECTION ONLY","EDITORIAL ADJUSTMENT")</x:f>
        <x:v>PROJECTION ONLY</x:v>
      </x:c>
    </x:row>
    <x:row r="253">
      <x:c r="A253" s="26" t="str">
        <x:v>WR</x:v>
      </x:c>
      <x:c r="B253" s="26" t="n">
        <x:v>81</x:v>
      </x:c>
      <x:c r="C253" s="26" t="str">
        <x:v>Isaac TeSlaa</x:v>
      </x:c>
      <x:c r="D253" s="26" t="str">
        <x:v>DET</x:v>
      </x:c>
      <x:c r="E253" s="28" t="n">
        <x:v>66.1</x:v>
      </x:c>
      <x:c r="F253" s="28" t="str">
        <x:v>WR|81</x:v>
      </x:c>
      <x:c r="G253" s="28" t="n">
        <x:f>XLOOKUP(A253,'Assumptions'!$A$12:$A$15,'Assumptions'!$C$12:$C$15)</x:f>
        <x:v>110.6</x:v>
      </x:c>
      <x:c r="H253" s="28" t="n">
        <x:f>E253-G253</x:f>
        <x:v>-44.5</x:v>
      </x:c>
      <x:c r="I253" s="29" t="n">
        <x:v>0</x:v>
      </x:c>
      <x:c r="J253" s="28" t="n">
        <x:f>H253+I253</x:f>
        <x:v>-44.5</x:v>
      </x:c>
      <x:c r="K253" s="26" t="str">
        <x:v>Projection-only v1.0</x:v>
      </x:c>
      <x:c r="L253" s="26" t="n">
        <x:f>RANK.EQ(J253,$J$5:$J$619,0)</x:f>
        <x:v>182</x:v>
      </x:c>
      <x:c r="M253" s="26" t="str">
        <x:f>IF(I253=0,"PROJECTION ONLY","EDITORIAL ADJUSTMENT")</x:f>
        <x:v>PROJECTION ONLY</x:v>
      </x:c>
    </x:row>
    <x:row r="254">
      <x:c r="A254" s="26" t="str">
        <x:v>WR</x:v>
      </x:c>
      <x:c r="B254" s="26" t="n">
        <x:v>82</x:v>
      </x:c>
      <x:c r="C254" s="26" t="str">
        <x:v>Ja'Kobi Lane</x:v>
      </x:c>
      <x:c r="D254" s="26" t="str">
        <x:v>BAL</x:v>
      </x:c>
      <x:c r="E254" s="28" t="n">
        <x:v>66.1</x:v>
      </x:c>
      <x:c r="F254" s="28" t="str">
        <x:v>WR|82</x:v>
      </x:c>
      <x:c r="G254" s="28" t="n">
        <x:f>XLOOKUP(A254,'Assumptions'!$A$12:$A$15,'Assumptions'!$C$12:$C$15)</x:f>
        <x:v>110.6</x:v>
      </x:c>
      <x:c r="H254" s="28" t="n">
        <x:f>E254-G254</x:f>
        <x:v>-44.5</x:v>
      </x:c>
      <x:c r="I254" s="29" t="n">
        <x:v>0</x:v>
      </x:c>
      <x:c r="J254" s="28" t="n">
        <x:f>H254+I254</x:f>
        <x:v>-44.5</x:v>
      </x:c>
      <x:c r="K254" s="26" t="str">
        <x:v>Projection-only v1.0</x:v>
      </x:c>
      <x:c r="L254" s="26" t="n">
        <x:f>RANK.EQ(J254,$J$5:$J$619,0)</x:f>
        <x:v>182</x:v>
      </x:c>
      <x:c r="M254" s="26" t="str">
        <x:f>IF(I254=0,"PROJECTION ONLY","EDITORIAL ADJUSTMENT")</x:f>
        <x:v>PROJECTION ONLY</x:v>
      </x:c>
    </x:row>
    <x:row r="255">
      <x:c r="A255" s="26" t="str">
        <x:v>WR</x:v>
      </x:c>
      <x:c r="B255" s="26" t="n">
        <x:v>83</x:v>
      </x:c>
      <x:c r="C255" s="26" t="str">
        <x:v>Dontayvion Wicks</x:v>
      </x:c>
      <x:c r="D255" s="26" t="str">
        <x:v>PHI</x:v>
      </x:c>
      <x:c r="E255" s="28" t="n">
        <x:v>61.8</x:v>
      </x:c>
      <x:c r="F255" s="28" t="str">
        <x:v>WR|83</x:v>
      </x:c>
      <x:c r="G255" s="28" t="n">
        <x:f>XLOOKUP(A255,'Assumptions'!$A$12:$A$15,'Assumptions'!$C$12:$C$15)</x:f>
        <x:v>110.6</x:v>
      </x:c>
      <x:c r="H255" s="28" t="n">
        <x:f>E255-G255</x:f>
        <x:v>-48.8</x:v>
      </x:c>
      <x:c r="I255" s="29" t="n">
        <x:v>0</x:v>
      </x:c>
      <x:c r="J255" s="28" t="n">
        <x:f>H255+I255</x:f>
        <x:v>-48.8</x:v>
      </x:c>
      <x:c r="K255" s="26" t="str">
        <x:v>Projection-only v1.0</x:v>
      </x:c>
      <x:c r="L255" s="26" t="n">
        <x:f>RANK.EQ(J255,$J$5:$J$619,0)</x:f>
        <x:v>193</x:v>
      </x:c>
      <x:c r="M255" s="26" t="str">
        <x:f>IF(I255=0,"PROJECTION ONLY","EDITORIAL ADJUSTMENT")</x:f>
        <x:v>PROJECTION ONLY</x:v>
      </x:c>
    </x:row>
    <x:row r="256">
      <x:c r="A256" s="26" t="str">
        <x:v>WR</x:v>
      </x:c>
      <x:c r="B256" s="26" t="n">
        <x:v>84</x:v>
      </x:c>
      <x:c r="C256" s="26" t="str">
        <x:v>Jack Bech</x:v>
      </x:c>
      <x:c r="D256" s="26" t="str">
        <x:v>LV</x:v>
      </x:c>
      <x:c r="E256" s="28" t="n">
        <x:v>61</x:v>
      </x:c>
      <x:c r="F256" s="28" t="str">
        <x:v>WR|84</x:v>
      </x:c>
      <x:c r="G256" s="28" t="n">
        <x:f>XLOOKUP(A256,'Assumptions'!$A$12:$A$15,'Assumptions'!$C$12:$C$15)</x:f>
        <x:v>110.6</x:v>
      </x:c>
      <x:c r="H256" s="28" t="n">
        <x:f>E256-G256</x:f>
        <x:v>-49.599999999999994</x:v>
      </x:c>
      <x:c r="I256" s="29" t="n">
        <x:v>0</x:v>
      </x:c>
      <x:c r="J256" s="28" t="n">
        <x:f>H256+I256</x:f>
        <x:v>-49.599999999999994</x:v>
      </x:c>
      <x:c r="K256" s="26" t="str">
        <x:v>Projection-only v1.0</x:v>
      </x:c>
      <x:c r="L256" s="26" t="n">
        <x:f>RANK.EQ(J256,$J$5:$J$619,0)</x:f>
        <x:v>195</x:v>
      </x:c>
      <x:c r="M256" s="26" t="str">
        <x:f>IF(I256=0,"PROJECTION ONLY","EDITORIAL ADJUSTMENT")</x:f>
        <x:v>PROJECTION ONLY</x:v>
      </x:c>
    </x:row>
    <x:row r="257">
      <x:c r="A257" s="26" t="str">
        <x:v>WR</x:v>
      </x:c>
      <x:c r="B257" s="26" t="n">
        <x:v>85</x:v>
      </x:c>
      <x:c r="C257" s="26" t="str">
        <x:v>Cooper Kupp</x:v>
      </x:c>
      <x:c r="D257" s="26" t="str">
        <x:v>SEA</x:v>
      </x:c>
      <x:c r="E257" s="28" t="n">
        <x:v>61.9</x:v>
      </x:c>
      <x:c r="F257" s="28" t="str">
        <x:v>WR|85</x:v>
      </x:c>
      <x:c r="G257" s="28" t="n">
        <x:f>XLOOKUP(A257,'Assumptions'!$A$12:$A$15,'Assumptions'!$C$12:$C$15)</x:f>
        <x:v>110.6</x:v>
      </x:c>
      <x:c r="H257" s="28" t="n">
        <x:f>E257-G257</x:f>
        <x:v>-48.699999999999996</x:v>
      </x:c>
      <x:c r="I257" s="29" t="n">
        <x:v>0</x:v>
      </x:c>
      <x:c r="J257" s="28" t="n">
        <x:f>H257+I257</x:f>
        <x:v>-48.699999999999996</x:v>
      </x:c>
      <x:c r="K257" s="26" t="str">
        <x:v>Projection-only v1.0</x:v>
      </x:c>
      <x:c r="L257" s="26" t="n">
        <x:f>RANK.EQ(J257,$J$5:$J$619,0)</x:f>
        <x:v>192</x:v>
      </x:c>
      <x:c r="M257" s="26" t="str">
        <x:f>IF(I257=0,"PROJECTION ONLY","EDITORIAL ADJUSTMENT")</x:f>
        <x:v>PROJECTION ONLY</x:v>
      </x:c>
    </x:row>
    <x:row r="258">
      <x:c r="A258" s="26" t="str">
        <x:v>WR</x:v>
      </x:c>
      <x:c r="B258" s="26" t="n">
        <x:v>86</x:v>
      </x:c>
      <x:c r="C258" s="26" t="str">
        <x:v>Jordyn Tyson</x:v>
      </x:c>
      <x:c r="D258" s="26" t="str">
        <x:v>NO</x:v>
      </x:c>
      <x:c r="E258" s="28" t="n">
        <x:v>61.3</x:v>
      </x:c>
      <x:c r="F258" s="28" t="str">
        <x:v>WR|86</x:v>
      </x:c>
      <x:c r="G258" s="28" t="n">
        <x:f>XLOOKUP(A258,'Assumptions'!$A$12:$A$15,'Assumptions'!$C$12:$C$15)</x:f>
        <x:v>110.6</x:v>
      </x:c>
      <x:c r="H258" s="28" t="n">
        <x:f>E258-G258</x:f>
        <x:v>-49.3</x:v>
      </x:c>
      <x:c r="I258" s="29" t="n">
        <x:v>0</x:v>
      </x:c>
      <x:c r="J258" s="28" t="n">
        <x:f>H258+I258</x:f>
        <x:v>-49.3</x:v>
      </x:c>
      <x:c r="K258" s="26" t="str">
        <x:v>Projection-only v1.0</x:v>
      </x:c>
      <x:c r="L258" s="26" t="n">
        <x:f>RANK.EQ(J258,$J$5:$J$619,0)</x:f>
        <x:v>194</x:v>
      </x:c>
      <x:c r="M258" s="26" t="str">
        <x:f>IF(I258=0,"PROJECTION ONLY","EDITORIAL ADJUSTMENT")</x:f>
        <x:v>PROJECTION ONLY</x:v>
      </x:c>
    </x:row>
    <x:row r="259">
      <x:c r="A259" s="26" t="str">
        <x:v>WR</x:v>
      </x:c>
      <x:c r="B259" s="26" t="n">
        <x:v>87</x:v>
      </x:c>
      <x:c r="C259" s="26" t="str">
        <x:v>Kayshon Boutte</x:v>
      </x:c>
      <x:c r="D259" s="26" t="str">
        <x:v>NE</x:v>
      </x:c>
      <x:c r="E259" s="28" t="n">
        <x:v>62.8</x:v>
      </x:c>
      <x:c r="F259" s="28" t="str">
        <x:v>WR|87</x:v>
      </x:c>
      <x:c r="G259" s="28" t="n">
        <x:f>XLOOKUP(A259,'Assumptions'!$A$12:$A$15,'Assumptions'!$C$12:$C$15)</x:f>
        <x:v>110.6</x:v>
      </x:c>
      <x:c r="H259" s="28" t="n">
        <x:f>E259-G259</x:f>
        <x:v>-47.8</x:v>
      </x:c>
      <x:c r="I259" s="29" t="n">
        <x:v>0</x:v>
      </x:c>
      <x:c r="J259" s="28" t="n">
        <x:f>H259+I259</x:f>
        <x:v>-47.8</x:v>
      </x:c>
      <x:c r="K259" s="26" t="str">
        <x:v>Projection-only v1.0</x:v>
      </x:c>
      <x:c r="L259" s="26" t="n">
        <x:f>RANK.EQ(J259,$J$5:$J$619,0)</x:f>
        <x:v>191</x:v>
      </x:c>
      <x:c r="M259" s="26" t="str">
        <x:f>IF(I259=0,"PROJECTION ONLY","EDITORIAL ADJUSTMENT")</x:f>
        <x:v>PROJECTION ONLY</x:v>
      </x:c>
    </x:row>
    <x:row r="260">
      <x:c r="A260" s="26" t="str">
        <x:v>WR</x:v>
      </x:c>
      <x:c r="B260" s="26" t="n">
        <x:v>88</x:v>
      </x:c>
      <x:c r="C260" s="26" t="str">
        <x:v>Tyquan Thornton</x:v>
      </x:c>
      <x:c r="D260" s="26" t="str">
        <x:v>KC</x:v>
      </x:c>
      <x:c r="E260" s="28" t="n">
        <x:v>63.5</x:v>
      </x:c>
      <x:c r="F260" s="28" t="str">
        <x:v>WR|88</x:v>
      </x:c>
      <x:c r="G260" s="28" t="n">
        <x:f>XLOOKUP(A260,'Assumptions'!$A$12:$A$15,'Assumptions'!$C$12:$C$15)</x:f>
        <x:v>110.6</x:v>
      </x:c>
      <x:c r="H260" s="28" t="n">
        <x:f>E260-G260</x:f>
        <x:v>-47.099999999999994</x:v>
      </x:c>
      <x:c r="I260" s="29" t="n">
        <x:v>0</x:v>
      </x:c>
      <x:c r="J260" s="28" t="n">
        <x:f>H260+I260</x:f>
        <x:v>-47.099999999999994</x:v>
      </x:c>
      <x:c r="K260" s="26" t="str">
        <x:v>Projection-only v1.0</x:v>
      </x:c>
      <x:c r="L260" s="26" t="n">
        <x:f>RANK.EQ(J260,$J$5:$J$619,0)</x:f>
        <x:v>190</x:v>
      </x:c>
      <x:c r="M260" s="26" t="str">
        <x:f>IF(I260=0,"PROJECTION ONLY","EDITORIAL ADJUSTMENT")</x:f>
        <x:v>PROJECTION ONLY</x:v>
      </x:c>
    </x:row>
    <x:row r="261">
      <x:c r="A261" s="26" t="str">
        <x:v>WR</x:v>
      </x:c>
      <x:c r="B261" s="26" t="n">
        <x:v>89</x:v>
      </x:c>
      <x:c r="C261" s="26" t="str">
        <x:v>Devontez Walker</x:v>
      </x:c>
      <x:c r="D261" s="26" t="str">
        <x:v>BAL</x:v>
      </x:c>
      <x:c r="E261" s="28" t="n">
        <x:v>58.9</x:v>
      </x:c>
      <x:c r="F261" s="28" t="str">
        <x:v>WR|89</x:v>
      </x:c>
      <x:c r="G261" s="28" t="n">
        <x:f>XLOOKUP(A261,'Assumptions'!$A$12:$A$15,'Assumptions'!$C$12:$C$15)</x:f>
        <x:v>110.6</x:v>
      </x:c>
      <x:c r="H261" s="28" t="n">
        <x:f>E261-G261</x:f>
        <x:v>-51.699999999999996</x:v>
      </x:c>
      <x:c r="I261" s="29" t="n">
        <x:v>0</x:v>
      </x:c>
      <x:c r="J261" s="28" t="n">
        <x:f>H261+I261</x:f>
        <x:v>-51.699999999999996</x:v>
      </x:c>
      <x:c r="K261" s="26" t="str">
        <x:v>Projection-only v1.0</x:v>
      </x:c>
      <x:c r="L261" s="26" t="n">
        <x:f>RANK.EQ(J261,$J$5:$J$619,0)</x:f>
        <x:v>197</x:v>
      </x:c>
      <x:c r="M261" s="26" t="str">
        <x:f>IF(I261=0,"PROJECTION ONLY","EDITORIAL ADJUSTMENT")</x:f>
        <x:v>PROJECTION ONLY</x:v>
      </x:c>
    </x:row>
    <x:row r="262">
      <x:c r="A262" s="26" t="str">
        <x:v>WR</x:v>
      </x:c>
      <x:c r="B262" s="26" t="n">
        <x:v>90</x:v>
      </x:c>
      <x:c r="C262" s="26" t="str">
        <x:v>Caleb Douglas</x:v>
      </x:c>
      <x:c r="D262" s="26" t="str">
        <x:v>MIA</x:v>
      </x:c>
      <x:c r="E262" s="28" t="n">
        <x:v>57.4</x:v>
      </x:c>
      <x:c r="F262" s="28" t="str">
        <x:v>WR|90</x:v>
      </x:c>
      <x:c r="G262" s="28" t="n">
        <x:f>XLOOKUP(A262,'Assumptions'!$A$12:$A$15,'Assumptions'!$C$12:$C$15)</x:f>
        <x:v>110.6</x:v>
      </x:c>
      <x:c r="H262" s="28" t="n">
        <x:f>E262-G262</x:f>
        <x:v>-53.199999999999996</x:v>
      </x:c>
      <x:c r="I262" s="29" t="n">
        <x:v>0</x:v>
      </x:c>
      <x:c r="J262" s="28" t="n">
        <x:f>H262+I262</x:f>
        <x:v>-53.199999999999996</x:v>
      </x:c>
      <x:c r="K262" s="26" t="str">
        <x:v>Projection-only v1.0</x:v>
      </x:c>
      <x:c r="L262" s="26" t="n">
        <x:f>RANK.EQ(J262,$J$5:$J$619,0)</x:f>
        <x:v>201</x:v>
      </x:c>
      <x:c r="M262" s="26" t="str">
        <x:f>IF(I262=0,"PROJECTION ONLY","EDITORIAL ADJUSTMENT")</x:f>
        <x:v>PROJECTION ONLY</x:v>
      </x:c>
    </x:row>
    <x:row r="263">
      <x:c r="A263" s="26" t="str">
        <x:v>WR</x:v>
      </x:c>
      <x:c r="B263" s="26" t="n">
        <x:v>91</x:v>
      </x:c>
      <x:c r="C263" s="26" t="str">
        <x:v>Ryan Flournoy</x:v>
      </x:c>
      <x:c r="D263" s="26" t="str">
        <x:v>DAL</x:v>
      </x:c>
      <x:c r="E263" s="28" t="n">
        <x:v>58.1</x:v>
      </x:c>
      <x:c r="F263" s="28" t="str">
        <x:v>WR|91</x:v>
      </x:c>
      <x:c r="G263" s="28" t="n">
        <x:f>XLOOKUP(A263,'Assumptions'!$A$12:$A$15,'Assumptions'!$C$12:$C$15)</x:f>
        <x:v>110.6</x:v>
      </x:c>
      <x:c r="H263" s="28" t="n">
        <x:f>E263-G263</x:f>
        <x:v>-52.49999999999999</x:v>
      </x:c>
      <x:c r="I263" s="29" t="n">
        <x:v>0</x:v>
      </x:c>
      <x:c r="J263" s="28" t="n">
        <x:f>H263+I263</x:f>
        <x:v>-52.49999999999999</x:v>
      </x:c>
      <x:c r="K263" s="26" t="str">
        <x:v>Projection-only v1.0</x:v>
      </x:c>
      <x:c r="L263" s="26" t="n">
        <x:f>RANK.EQ(J263,$J$5:$J$619,0)</x:f>
        <x:v>200</x:v>
      </x:c>
      <x:c r="M263" s="26" t="str">
        <x:f>IF(I263=0,"PROJECTION ONLY","EDITORIAL ADJUSTMENT")</x:f>
        <x:v>PROJECTION ONLY</x:v>
      </x:c>
    </x:row>
    <x:row r="264">
      <x:c r="A264" s="26" t="str">
        <x:v>WR</x:v>
      </x:c>
      <x:c r="B264" s="26" t="n">
        <x:v>92</x:v>
      </x:c>
      <x:c r="C264" s="26" t="str">
        <x:v>Elic Ayomanor</x:v>
      </x:c>
      <x:c r="D264" s="26" t="str">
        <x:v>TEN</x:v>
      </x:c>
      <x:c r="E264" s="28" t="n">
        <x:v>58.8</x:v>
      </x:c>
      <x:c r="F264" s="28" t="str">
        <x:v>WR|92</x:v>
      </x:c>
      <x:c r="G264" s="28" t="n">
        <x:f>XLOOKUP(A264,'Assumptions'!$A$12:$A$15,'Assumptions'!$C$12:$C$15)</x:f>
        <x:v>110.6</x:v>
      </x:c>
      <x:c r="H264" s="28" t="n">
        <x:f>E264-G264</x:f>
        <x:v>-51.8</x:v>
      </x:c>
      <x:c r="I264" s="29" t="n">
        <x:v>0</x:v>
      </x:c>
      <x:c r="J264" s="28" t="n">
        <x:f>H264+I264</x:f>
        <x:v>-51.8</x:v>
      </x:c>
      <x:c r="K264" s="26" t="str">
        <x:v>Projection-only v1.0</x:v>
      </x:c>
      <x:c r="L264" s="26" t="n">
        <x:f>RANK.EQ(J264,$J$5:$J$619,0)</x:f>
        <x:v>198</x:v>
      </x:c>
      <x:c r="M264" s="26" t="str">
        <x:f>IF(I264=0,"PROJECTION ONLY","EDITORIAL ADJUSTMENT")</x:f>
        <x:v>PROJECTION ONLY</x:v>
      </x:c>
    </x:row>
    <x:row r="265">
      <x:c r="A265" s="26" t="str">
        <x:v>WR</x:v>
      </x:c>
      <x:c r="B265" s="26" t="n">
        <x:v>93</x:v>
      </x:c>
      <x:c r="C265" s="26" t="str">
        <x:v>Cedric Tillman</x:v>
      </x:c>
      <x:c r="D265" s="26" t="str">
        <x:v>CLE</x:v>
      </x:c>
      <x:c r="E265" s="28" t="n">
        <x:v>56.4</x:v>
      </x:c>
      <x:c r="F265" s="28" t="str">
        <x:v>WR|93</x:v>
      </x:c>
      <x:c r="G265" s="28" t="n">
        <x:f>XLOOKUP(A265,'Assumptions'!$A$12:$A$15,'Assumptions'!$C$12:$C$15)</x:f>
        <x:v>110.6</x:v>
      </x:c>
      <x:c r="H265" s="28" t="n">
        <x:f>E265-G265</x:f>
        <x:v>-54.199999999999996</x:v>
      </x:c>
      <x:c r="I265" s="29" t="n">
        <x:v>0</x:v>
      </x:c>
      <x:c r="J265" s="28" t="n">
        <x:f>H265+I265</x:f>
        <x:v>-54.199999999999996</x:v>
      </x:c>
      <x:c r="K265" s="26" t="str">
        <x:v>Projection-only v1.0</x:v>
      </x:c>
      <x:c r="L265" s="26" t="n">
        <x:f>RANK.EQ(J265,$J$5:$J$619,0)</x:f>
        <x:v>205</x:v>
      </x:c>
      <x:c r="M265" s="26" t="str">
        <x:f>IF(I265=0,"PROJECTION ONLY","EDITORIAL ADJUSTMENT")</x:f>
        <x:v>PROJECTION ONLY</x:v>
      </x:c>
    </x:row>
    <x:row r="266">
      <x:c r="A266" s="26" t="str">
        <x:v>WR</x:v>
      </x:c>
      <x:c r="B266" s="26" t="n">
        <x:v>94</x:v>
      </x:c>
      <x:c r="C266" s="26" t="str">
        <x:v>Hollywood Brown</x:v>
      </x:c>
      <x:c r="D266" s="26" t="str">
        <x:v>PHI</x:v>
      </x:c>
      <x:c r="E266" s="28" t="n">
        <x:v>55.2</x:v>
      </x:c>
      <x:c r="F266" s="28" t="str">
        <x:v>WR|94</x:v>
      </x:c>
      <x:c r="G266" s="28" t="n">
        <x:f>XLOOKUP(A266,'Assumptions'!$A$12:$A$15,'Assumptions'!$C$12:$C$15)</x:f>
        <x:v>110.6</x:v>
      </x:c>
      <x:c r="H266" s="28" t="n">
        <x:f>E266-G266</x:f>
        <x:v>-55.39999999999999</x:v>
      </x:c>
      <x:c r="I266" s="29" t="n">
        <x:v>0</x:v>
      </x:c>
      <x:c r="J266" s="28" t="n">
        <x:f>H266+I266</x:f>
        <x:v>-55.39999999999999</x:v>
      </x:c>
      <x:c r="K266" s="26" t="str">
        <x:v>Projection-only v1.0</x:v>
      </x:c>
      <x:c r="L266" s="26" t="n">
        <x:f>RANK.EQ(J266,$J$5:$J$619,0)</x:f>
        <x:v>207</x:v>
      </x:c>
      <x:c r="M266" s="26" t="str">
        <x:f>IF(I266=0,"PROJECTION ONLY","EDITORIAL ADJUSTMENT")</x:f>
        <x:v>PROJECTION ONLY</x:v>
      </x:c>
    </x:row>
    <x:row r="267">
      <x:c r="A267" s="26" t="str">
        <x:v>WR</x:v>
      </x:c>
      <x:c r="B267" s="26" t="n">
        <x:v>95</x:v>
      </x:c>
      <x:c r="C267" s="26" t="str">
        <x:v>Mack Hollins</x:v>
      </x:c>
      <x:c r="D267" s="26" t="str">
        <x:v>NE</x:v>
      </x:c>
      <x:c r="E267" s="28" t="n">
        <x:v>54</x:v>
      </x:c>
      <x:c r="F267" s="28" t="str">
        <x:v>WR|95</x:v>
      </x:c>
      <x:c r="G267" s="28" t="n">
        <x:f>XLOOKUP(A267,'Assumptions'!$A$12:$A$15,'Assumptions'!$C$12:$C$15)</x:f>
        <x:v>110.6</x:v>
      </x:c>
      <x:c r="H267" s="28" t="n">
        <x:f>E267-G267</x:f>
        <x:v>-56.599999999999994</x:v>
      </x:c>
      <x:c r="I267" s="29" t="n">
        <x:v>0</x:v>
      </x:c>
      <x:c r="J267" s="28" t="n">
        <x:f>H267+I267</x:f>
        <x:v>-56.599999999999994</x:v>
      </x:c>
      <x:c r="K267" s="26" t="str">
        <x:v>Projection-only v1.0</x:v>
      </x:c>
      <x:c r="L267" s="26" t="n">
        <x:f>RANK.EQ(J267,$J$5:$J$619,0)</x:f>
        <x:v>208</x:v>
      </x:c>
      <x:c r="M267" s="26" t="str">
        <x:f>IF(I267=0,"PROJECTION ONLY","EDITORIAL ADJUSTMENT")</x:f>
        <x:v>PROJECTION ONLY</x:v>
      </x:c>
    </x:row>
    <x:row r="268">
      <x:c r="A268" s="26" t="str">
        <x:v>WR</x:v>
      </x:c>
      <x:c r="B268" s="26" t="n">
        <x:v>96</x:v>
      </x:c>
      <x:c r="C268" s="26" t="str">
        <x:v>Travis Hunter</x:v>
      </x:c>
      <x:c r="D268" s="26" t="str">
        <x:v>JAX</x:v>
      </x:c>
      <x:c r="E268" s="28" t="n">
        <x:v>54</x:v>
      </x:c>
      <x:c r="F268" s="28" t="str">
        <x:v>WR|96</x:v>
      </x:c>
      <x:c r="G268" s="28" t="n">
        <x:f>XLOOKUP(A268,'Assumptions'!$A$12:$A$15,'Assumptions'!$C$12:$C$15)</x:f>
        <x:v>110.6</x:v>
      </x:c>
      <x:c r="H268" s="28" t="n">
        <x:f>E268-G268</x:f>
        <x:v>-56.599999999999994</x:v>
      </x:c>
      <x:c r="I268" s="29" t="n">
        <x:v>0</x:v>
      </x:c>
      <x:c r="J268" s="28" t="n">
        <x:f>H268+I268</x:f>
        <x:v>-56.599999999999994</x:v>
      </x:c>
      <x:c r="K268" s="26" t="str">
        <x:v>Projection-only v1.0</x:v>
      </x:c>
      <x:c r="L268" s="26" t="n">
        <x:f>RANK.EQ(J268,$J$5:$J$619,0)</x:f>
        <x:v>208</x:v>
      </x:c>
      <x:c r="M268" s="26" t="str">
        <x:f>IF(I268=0,"PROJECTION ONLY","EDITORIAL ADJUSTMENT")</x:f>
        <x:v>PROJECTION ONLY</x:v>
      </x:c>
    </x:row>
    <x:row r="269">
      <x:c r="A269" s="26" t="str">
        <x:v>WR</x:v>
      </x:c>
      <x:c r="B269" s="26" t="n">
        <x:v>97</x:v>
      </x:c>
      <x:c r="C269" s="26" t="str">
        <x:v>Joshua Palmer</x:v>
      </x:c>
      <x:c r="D269" s="26" t="str">
        <x:v>BUF</x:v>
      </x:c>
      <x:c r="E269" s="28" t="n">
        <x:v>52.9</x:v>
      </x:c>
      <x:c r="F269" s="28" t="str">
        <x:v>WR|97</x:v>
      </x:c>
      <x:c r="G269" s="28" t="n">
        <x:f>XLOOKUP(A269,'Assumptions'!$A$12:$A$15,'Assumptions'!$C$12:$C$15)</x:f>
        <x:v>110.6</x:v>
      </x:c>
      <x:c r="H269" s="28" t="n">
        <x:f>E269-G269</x:f>
        <x:v>-57.699999999999996</x:v>
      </x:c>
      <x:c r="I269" s="29" t="n">
        <x:v>0</x:v>
      </x:c>
      <x:c r="J269" s="28" t="n">
        <x:f>H269+I269</x:f>
        <x:v>-57.699999999999996</x:v>
      </x:c>
      <x:c r="K269" s="26" t="str">
        <x:v>Projection-only v1.0</x:v>
      </x:c>
      <x:c r="L269" s="26" t="n">
        <x:f>RANK.EQ(J269,$J$5:$J$619,0)</x:f>
        <x:v>212</x:v>
      </x:c>
      <x:c r="M269" s="26" t="str">
        <x:f>IF(I269=0,"PROJECTION ONLY","EDITORIAL ADJUSTMENT")</x:f>
        <x:v>PROJECTION ONLY</x:v>
      </x:c>
    </x:row>
    <x:row r="270">
      <x:c r="A270" s="26" t="str">
        <x:v>WR</x:v>
      </x:c>
      <x:c r="B270" s="26" t="n">
        <x:v>98</x:v>
      </x:c>
      <x:c r="C270" s="26" t="str">
        <x:v>Jalen Tolbert</x:v>
      </x:c>
      <x:c r="D270" s="26" t="str">
        <x:v>MIA</x:v>
      </x:c>
      <x:c r="E270" s="28" t="n">
        <x:v>51.8</x:v>
      </x:c>
      <x:c r="F270" s="28" t="str">
        <x:v>WR|98</x:v>
      </x:c>
      <x:c r="G270" s="28" t="n">
        <x:f>XLOOKUP(A270,'Assumptions'!$A$12:$A$15,'Assumptions'!$C$12:$C$15)</x:f>
        <x:v>110.6</x:v>
      </x:c>
      <x:c r="H270" s="28" t="n">
        <x:f>E270-G270</x:f>
        <x:v>-58.8</x:v>
      </x:c>
      <x:c r="I270" s="29" t="n">
        <x:v>0</x:v>
      </x:c>
      <x:c r="J270" s="28" t="n">
        <x:f>H270+I270</x:f>
        <x:v>-58.8</x:v>
      </x:c>
      <x:c r="K270" s="26" t="str">
        <x:v>Projection-only v1.0</x:v>
      </x:c>
      <x:c r="L270" s="26" t="n">
        <x:f>RANK.EQ(J270,$J$5:$J$619,0)</x:f>
        <x:v>215</x:v>
      </x:c>
      <x:c r="M270" s="26" t="str">
        <x:f>IF(I270=0,"PROJECTION ONLY","EDITORIAL ADJUSTMENT")</x:f>
        <x:v>PROJECTION ONLY</x:v>
      </x:c>
    </x:row>
    <x:row r="271">
      <x:c r="A271" s="26" t="str">
        <x:v>WR</x:v>
      </x:c>
      <x:c r="B271" s="26" t="n">
        <x:v>99</x:v>
      </x:c>
      <x:c r="C271" s="26" t="str">
        <x:v>Chimere Dike</x:v>
      </x:c>
      <x:c r="D271" s="26" t="str">
        <x:v>TEN</x:v>
      </x:c>
      <x:c r="E271" s="28" t="n">
        <x:v>52.3</x:v>
      </x:c>
      <x:c r="F271" s="28" t="str">
        <x:v>WR|99</x:v>
      </x:c>
      <x:c r="G271" s="28" t="n">
        <x:f>XLOOKUP(A271,'Assumptions'!$A$12:$A$15,'Assumptions'!$C$12:$C$15)</x:f>
        <x:v>110.6</x:v>
      </x:c>
      <x:c r="H271" s="28" t="n">
        <x:f>E271-G271</x:f>
        <x:v>-58.3</x:v>
      </x:c>
      <x:c r="I271" s="29" t="n">
        <x:v>0</x:v>
      </x:c>
      <x:c r="J271" s="28" t="n">
        <x:f>H271+I271</x:f>
        <x:v>-58.3</x:v>
      </x:c>
      <x:c r="K271" s="26" t="str">
        <x:v>Projection-only v1.0</x:v>
      </x:c>
      <x:c r="L271" s="26" t="n">
        <x:f>RANK.EQ(J271,$J$5:$J$619,0)</x:f>
        <x:v>213</x:v>
      </x:c>
      <x:c r="M271" s="26" t="str">
        <x:f>IF(I271=0,"PROJECTION ONLY","EDITORIAL ADJUSTMENT")</x:f>
        <x:v>PROJECTION ONLY</x:v>
      </x:c>
    </x:row>
    <x:row r="272">
      <x:c r="A272" s="26" t="str">
        <x:v>WR</x:v>
      </x:c>
      <x:c r="B272" s="26" t="n">
        <x:v>100</x:v>
      </x:c>
      <x:c r="C272" s="26" t="str">
        <x:v>Chris Bell</x:v>
      </x:c>
      <x:c r="D272" s="26" t="str">
        <x:v>MIA</x:v>
      </x:c>
      <x:c r="E272" s="28" t="n">
        <x:v>51.7</x:v>
      </x:c>
      <x:c r="F272" s="28" t="str">
        <x:v>WR|100</x:v>
      </x:c>
      <x:c r="G272" s="28" t="n">
        <x:f>XLOOKUP(A272,'Assumptions'!$A$12:$A$15,'Assumptions'!$C$12:$C$15)</x:f>
        <x:v>110.6</x:v>
      </x:c>
      <x:c r="H272" s="28" t="n">
        <x:f>E272-G272</x:f>
        <x:v>-58.89999999999999</x:v>
      </x:c>
      <x:c r="I272" s="29" t="n">
        <x:v>0</x:v>
      </x:c>
      <x:c r="J272" s="28" t="n">
        <x:f>H272+I272</x:f>
        <x:v>-58.89999999999999</x:v>
      </x:c>
      <x:c r="K272" s="26" t="str">
        <x:v>Projection-only v1.0</x:v>
      </x:c>
      <x:c r="L272" s="26" t="n">
        <x:f>RANK.EQ(J272,$J$5:$J$619,0)</x:f>
        <x:v>217</x:v>
      </x:c>
      <x:c r="M272" s="26" t="str">
        <x:f>IF(I272=0,"PROJECTION ONLY","EDITORIAL ADJUSTMENT")</x:f>
        <x:v>PROJECTION ONLY</x:v>
      </x:c>
    </x:row>
    <x:row r="273">
      <x:c r="A273" s="26" t="str">
        <x:v>WR</x:v>
      </x:c>
      <x:c r="B273" s="26" t="n">
        <x:v>101</x:v>
      </x:c>
      <x:c r="C273" s="26" t="str">
        <x:v>Jaylin Noel</x:v>
      </x:c>
      <x:c r="D273" s="26" t="str">
        <x:v>HOU</x:v>
      </x:c>
      <x:c r="E273" s="28" t="n">
        <x:v>50.8</x:v>
      </x:c>
      <x:c r="F273" s="28" t="str">
        <x:v>WR|101</x:v>
      </x:c>
      <x:c r="G273" s="28" t="n">
        <x:f>XLOOKUP(A273,'Assumptions'!$A$12:$A$15,'Assumptions'!$C$12:$C$15)</x:f>
        <x:v>110.6</x:v>
      </x:c>
      <x:c r="H273" s="28" t="n">
        <x:f>E273-G273</x:f>
        <x:v>-59.8</x:v>
      </x:c>
      <x:c r="I273" s="29" t="n">
        <x:v>0</x:v>
      </x:c>
      <x:c r="J273" s="28" t="n">
        <x:f>H273+I273</x:f>
        <x:v>-59.8</x:v>
      </x:c>
      <x:c r="K273" s="26" t="str">
        <x:v>Projection-only v1.0</x:v>
      </x:c>
      <x:c r="L273" s="26" t="n">
        <x:f>RANK.EQ(J273,$J$5:$J$619,0)</x:f>
        <x:v>221</x:v>
      </x:c>
      <x:c r="M273" s="26" t="str">
        <x:f>IF(I273=0,"PROJECTION ONLY","EDITORIAL ADJUSTMENT")</x:f>
        <x:v>PROJECTION ONLY</x:v>
      </x:c>
    </x:row>
    <x:row r="274">
      <x:c r="A274" s="26" t="str">
        <x:v>WR</x:v>
      </x:c>
      <x:c r="B274" s="26" t="n">
        <x:v>102</x:v>
      </x:c>
      <x:c r="C274" s="26" t="str">
        <x:v>Xavier Legette</x:v>
      </x:c>
      <x:c r="D274" s="26" t="str">
        <x:v>CAR</x:v>
      </x:c>
      <x:c r="E274" s="28" t="n">
        <x:v>50.5</x:v>
      </x:c>
      <x:c r="F274" s="28" t="str">
        <x:v>WR|102</x:v>
      </x:c>
      <x:c r="G274" s="28" t="n">
        <x:f>XLOOKUP(A274,'Assumptions'!$A$12:$A$15,'Assumptions'!$C$12:$C$15)</x:f>
        <x:v>110.6</x:v>
      </x:c>
      <x:c r="H274" s="28" t="n">
        <x:f>E274-G274</x:f>
        <x:v>-60.099999999999994</x:v>
      </x:c>
      <x:c r="I274" s="29" t="n">
        <x:v>0</x:v>
      </x:c>
      <x:c r="J274" s="28" t="n">
        <x:f>H274+I274</x:f>
        <x:v>-60.099999999999994</x:v>
      </x:c>
      <x:c r="K274" s="26" t="str">
        <x:v>Projection-only v1.0</x:v>
      </x:c>
      <x:c r="L274" s="26" t="n">
        <x:f>RANK.EQ(J274,$J$5:$J$619,0)</x:f>
        <x:v>222</x:v>
      </x:c>
      <x:c r="M274" s="26" t="str">
        <x:f>IF(I274=0,"PROJECTION ONLY","EDITORIAL ADJUSTMENT")</x:f>
        <x:v>PROJECTION ONLY</x:v>
      </x:c>
    </x:row>
    <x:row r="275">
      <x:c r="A275" s="26" t="str">
        <x:v>WR</x:v>
      </x:c>
      <x:c r="B275" s="26" t="n">
        <x:v>103</x:v>
      </x:c>
      <x:c r="C275" s="26" t="str">
        <x:v>Pat Bryant</x:v>
      </x:c>
      <x:c r="D275" s="26" t="str">
        <x:v>DEN</x:v>
      </x:c>
      <x:c r="E275" s="28" t="n">
        <x:v>50.3</x:v>
      </x:c>
      <x:c r="F275" s="28" t="str">
        <x:v>WR|103</x:v>
      </x:c>
      <x:c r="G275" s="28" t="n">
        <x:f>XLOOKUP(A275,'Assumptions'!$A$12:$A$15,'Assumptions'!$C$12:$C$15)</x:f>
        <x:v>110.6</x:v>
      </x:c>
      <x:c r="H275" s="28" t="n">
        <x:f>E275-G275</x:f>
        <x:v>-60.3</x:v>
      </x:c>
      <x:c r="I275" s="29" t="n">
        <x:v>0</x:v>
      </x:c>
      <x:c r="J275" s="28" t="n">
        <x:f>H275+I275</x:f>
        <x:v>-60.3</x:v>
      </x:c>
      <x:c r="K275" s="26" t="str">
        <x:v>Projection-only v1.0</x:v>
      </x:c>
      <x:c r="L275" s="26" t="n">
        <x:f>RANK.EQ(J275,$J$5:$J$619,0)</x:f>
        <x:v>224</x:v>
      </x:c>
      <x:c r="M275" s="26" t="str">
        <x:f>IF(I275=0,"PROJECTION ONLY","EDITORIAL ADJUSTMENT")</x:f>
        <x:v>PROJECTION ONLY</x:v>
      </x:c>
    </x:row>
    <x:row r="276">
      <x:c r="A276" s="26" t="str">
        <x:v>WR</x:v>
      </x:c>
      <x:c r="B276" s="26" t="n">
        <x:v>104</x:v>
      </x:c>
      <x:c r="C276" s="26" t="str">
        <x:v>Darius Slayton</x:v>
      </x:c>
      <x:c r="D276" s="26" t="str">
        <x:v>NYG</x:v>
      </x:c>
      <x:c r="E276" s="28" t="n">
        <x:v>50.4</x:v>
      </x:c>
      <x:c r="F276" s="28" t="str">
        <x:v>WR|104</x:v>
      </x:c>
      <x:c r="G276" s="28" t="n">
        <x:f>XLOOKUP(A276,'Assumptions'!$A$12:$A$15,'Assumptions'!$C$12:$C$15)</x:f>
        <x:v>110.6</x:v>
      </x:c>
      <x:c r="H276" s="28" t="n">
        <x:f>E276-G276</x:f>
        <x:v>-60.199999999999996</x:v>
      </x:c>
      <x:c r="I276" s="29" t="n">
        <x:v>0</x:v>
      </x:c>
      <x:c r="J276" s="28" t="n">
        <x:f>H276+I276</x:f>
        <x:v>-60.199999999999996</x:v>
      </x:c>
      <x:c r="K276" s="26" t="str">
        <x:v>Projection-only v1.0</x:v>
      </x:c>
      <x:c r="L276" s="26" t="n">
        <x:f>RANK.EQ(J276,$J$5:$J$619,0)</x:f>
        <x:v>223</x:v>
      </x:c>
      <x:c r="M276" s="26" t="str">
        <x:f>IF(I276=0,"PROJECTION ONLY","EDITORIAL ADJUSTMENT")</x:f>
        <x:v>PROJECTION ONLY</x:v>
      </x:c>
    </x:row>
    <x:row r="277">
      <x:c r="A277" s="26" t="str">
        <x:v>WR</x:v>
      </x:c>
      <x:c r="B277" s="26" t="n">
        <x:v>105</x:v>
      </x:c>
      <x:c r="C277" s="26" t="str">
        <x:v>Jahdae Walker</x:v>
      </x:c>
      <x:c r="D277" s="26" t="str">
        <x:v>CHI</x:v>
      </x:c>
      <x:c r="E277" s="28" t="n">
        <x:v>51.8</x:v>
      </x:c>
      <x:c r="F277" s="28" t="str">
        <x:v>WR|105</x:v>
      </x:c>
      <x:c r="G277" s="28" t="n">
        <x:f>XLOOKUP(A277,'Assumptions'!$A$12:$A$15,'Assumptions'!$C$12:$C$15)</x:f>
        <x:v>110.6</x:v>
      </x:c>
      <x:c r="H277" s="28" t="n">
        <x:f>E277-G277</x:f>
        <x:v>-58.8</x:v>
      </x:c>
      <x:c r="I277" s="29" t="n">
        <x:v>0</x:v>
      </x:c>
      <x:c r="J277" s="28" t="n">
        <x:f>H277+I277</x:f>
        <x:v>-58.8</x:v>
      </x:c>
      <x:c r="K277" s="26" t="str">
        <x:v>Projection-only v1.0</x:v>
      </x:c>
      <x:c r="L277" s="26" t="n">
        <x:f>RANK.EQ(J277,$J$5:$J$619,0)</x:f>
        <x:v>215</x:v>
      </x:c>
      <x:c r="M277" s="26" t="str">
        <x:f>IF(I277=0,"PROJECTION ONLY","EDITORIAL ADJUSTMENT")</x:f>
        <x:v>PROJECTION ONLY</x:v>
      </x:c>
    </x:row>
    <x:row r="278">
      <x:c r="A278" s="26" t="str">
        <x:v>WR</x:v>
      </x:c>
      <x:c r="B278" s="26" t="n">
        <x:v>106</x:v>
      </x:c>
      <x:c r="C278" s="26" t="str">
        <x:v>Elijah Sarratt</x:v>
      </x:c>
      <x:c r="D278" s="26" t="str">
        <x:v>BAL</x:v>
      </x:c>
      <x:c r="E278" s="28" t="n">
        <x:v>50.9</x:v>
      </x:c>
      <x:c r="F278" s="28" t="str">
        <x:v>WR|106</x:v>
      </x:c>
      <x:c r="G278" s="28" t="n">
        <x:f>XLOOKUP(A278,'Assumptions'!$A$12:$A$15,'Assumptions'!$C$12:$C$15)</x:f>
        <x:v>110.6</x:v>
      </x:c>
      <x:c r="H278" s="28" t="n">
        <x:f>E278-G278</x:f>
        <x:v>-59.699999999999996</x:v>
      </x:c>
      <x:c r="I278" s="29" t="n">
        <x:v>0</x:v>
      </x:c>
      <x:c r="J278" s="28" t="n">
        <x:f>H278+I278</x:f>
        <x:v>-59.699999999999996</x:v>
      </x:c>
      <x:c r="K278" s="26" t="str">
        <x:v>Projection-only v1.0</x:v>
      </x:c>
      <x:c r="L278" s="26" t="n">
        <x:f>RANK.EQ(J278,$J$5:$J$619,0)</x:f>
        <x:v>220</x:v>
      </x:c>
      <x:c r="M278" s="26" t="str">
        <x:f>IF(I278=0,"PROJECTION ONLY","EDITORIAL ADJUSTMENT")</x:f>
        <x:v>PROJECTION ONLY</x:v>
      </x:c>
    </x:row>
    <x:row r="279">
      <x:c r="A279" s="26" t="str">
        <x:v>WR</x:v>
      </x:c>
      <x:c r="B279" s="26" t="n">
        <x:v>107</x:v>
      </x:c>
      <x:c r="C279" s="26" t="str">
        <x:v>Keon Coleman</x:v>
      </x:c>
      <x:c r="D279" s="26" t="str">
        <x:v>BUF</x:v>
      </x:c>
      <x:c r="E279" s="28" t="n">
        <x:v>49.5</x:v>
      </x:c>
      <x:c r="F279" s="28" t="str">
        <x:v>WR|107</x:v>
      </x:c>
      <x:c r="G279" s="28" t="n">
        <x:f>XLOOKUP(A279,'Assumptions'!$A$12:$A$15,'Assumptions'!$C$12:$C$15)</x:f>
        <x:v>110.6</x:v>
      </x:c>
      <x:c r="H279" s="28" t="n">
        <x:f>E279-G279</x:f>
        <x:v>-61.099999999999994</x:v>
      </x:c>
      <x:c r="I279" s="29" t="n">
        <x:v>0</x:v>
      </x:c>
      <x:c r="J279" s="28" t="n">
        <x:f>H279+I279</x:f>
        <x:v>-61.099999999999994</x:v>
      </x:c>
      <x:c r="K279" s="26" t="str">
        <x:v>Projection-only v1.0</x:v>
      </x:c>
      <x:c r="L279" s="26" t="n">
        <x:f>RANK.EQ(J279,$J$5:$J$619,0)</x:f>
        <x:v>225</x:v>
      </x:c>
      <x:c r="M279" s="26" t="str">
        <x:f>IF(I279=0,"PROJECTION ONLY","EDITORIAL ADJUSTMENT")</x:f>
        <x:v>PROJECTION ONLY</x:v>
      </x:c>
    </x:row>
    <x:row r="280">
      <x:c r="A280" s="26" t="str">
        <x:v>WR</x:v>
      </x:c>
      <x:c r="B280" s="26" t="n">
        <x:v>108</x:v>
      </x:c>
      <x:c r="C280" s="26" t="str">
        <x:v>Kendrick Bourne</x:v>
      </x:c>
      <x:c r="D280" s="26" t="str">
        <x:v>ARI</x:v>
      </x:c>
      <x:c r="E280" s="28" t="n">
        <x:v>46.4</x:v>
      </x:c>
      <x:c r="F280" s="28" t="str">
        <x:v>WR|108</x:v>
      </x:c>
      <x:c r="G280" s="28" t="n">
        <x:f>XLOOKUP(A280,'Assumptions'!$A$12:$A$15,'Assumptions'!$C$12:$C$15)</x:f>
        <x:v>110.6</x:v>
      </x:c>
      <x:c r="H280" s="28" t="n">
        <x:f>E280-G280</x:f>
        <x:v>-64.19999999999999</x:v>
      </x:c>
      <x:c r="I280" s="29" t="n">
        <x:v>0</x:v>
      </x:c>
      <x:c r="J280" s="28" t="n">
        <x:f>H280+I280</x:f>
        <x:v>-64.19999999999999</x:v>
      </x:c>
      <x:c r="K280" s="26" t="str">
        <x:v>Projection-only v1.0</x:v>
      </x:c>
      <x:c r="L280" s="26" t="n">
        <x:f>RANK.EQ(J280,$J$5:$J$619,0)</x:f>
        <x:v>231</x:v>
      </x:c>
      <x:c r="M280" s="26" t="str">
        <x:f>IF(I280=0,"PROJECTION ONLY","EDITORIAL ADJUSTMENT")</x:f>
        <x:v>PROJECTION ONLY</x:v>
      </x:c>
    </x:row>
    <x:row r="281">
      <x:c r="A281" s="26" t="str">
        <x:v>WR</x:v>
      </x:c>
      <x:c r="B281" s="26" t="n">
        <x:v>109</x:v>
      </x:c>
      <x:c r="C281" s="26" t="str">
        <x:v>Jahan Dotson</x:v>
      </x:c>
      <x:c r="D281" s="26" t="str">
        <x:v>ATL</x:v>
      </x:c>
      <x:c r="E281" s="28" t="n">
        <x:v>44.8</x:v>
      </x:c>
      <x:c r="F281" s="28" t="str">
        <x:v>WR|109</x:v>
      </x:c>
      <x:c r="G281" s="28" t="n">
        <x:f>XLOOKUP(A281,'Assumptions'!$A$12:$A$15,'Assumptions'!$C$12:$C$15)</x:f>
        <x:v>110.6</x:v>
      </x:c>
      <x:c r="H281" s="28" t="n">
        <x:f>E281-G281</x:f>
        <x:v>-65.8</x:v>
      </x:c>
      <x:c r="I281" s="29" t="n">
        <x:v>0</x:v>
      </x:c>
      <x:c r="J281" s="28" t="n">
        <x:f>H281+I281</x:f>
        <x:v>-65.8</x:v>
      </x:c>
      <x:c r="K281" s="26" t="str">
        <x:v>Projection-only v1.0</x:v>
      </x:c>
      <x:c r="L281" s="26" t="n">
        <x:f>RANK.EQ(J281,$J$5:$J$619,0)</x:f>
        <x:v>237</x:v>
      </x:c>
      <x:c r="M281" s="26" t="str">
        <x:f>IF(I281=0,"PROJECTION ONLY","EDITORIAL ADJUSTMENT")</x:f>
        <x:v>PROJECTION ONLY</x:v>
      </x:c>
    </x:row>
    <x:row r="282">
      <x:c r="A282" s="26" t="str">
        <x:v>WR</x:v>
      </x:c>
      <x:c r="B282" s="26" t="n">
        <x:v>110</x:v>
      </x:c>
      <x:c r="C282" s="26" t="str">
        <x:v>Olamide Zaccheaus</x:v>
      </x:c>
      <x:c r="D282" s="26" t="str">
        <x:v>ATL</x:v>
      </x:c>
      <x:c r="E282" s="28" t="n">
        <x:v>43.7</x:v>
      </x:c>
      <x:c r="F282" s="28" t="str">
        <x:v>WR|110</x:v>
      </x:c>
      <x:c r="G282" s="28" t="n">
        <x:f>XLOOKUP(A282,'Assumptions'!$A$12:$A$15,'Assumptions'!$C$12:$C$15)</x:f>
        <x:v>110.6</x:v>
      </x:c>
      <x:c r="H282" s="28" t="n">
        <x:f>E282-G282</x:f>
        <x:v>-66.89999999999999</x:v>
      </x:c>
      <x:c r="I282" s="29" t="n">
        <x:v>0</x:v>
      </x:c>
      <x:c r="J282" s="28" t="n">
        <x:f>H282+I282</x:f>
        <x:v>-66.89999999999999</x:v>
      </x:c>
      <x:c r="K282" s="26" t="str">
        <x:v>Projection-only v1.0</x:v>
      </x:c>
      <x:c r="L282" s="26" t="n">
        <x:f>RANK.EQ(J282,$J$5:$J$619,0)</x:f>
        <x:v>242</x:v>
      </x:c>
      <x:c r="M282" s="26" t="str">
        <x:f>IF(I282=0,"PROJECTION ONLY","EDITORIAL ADJUSTMENT")</x:f>
        <x:v>PROJECTION ONLY</x:v>
      </x:c>
    </x:row>
    <x:row r="283">
      <x:c r="A283" s="26" t="str">
        <x:v>WR</x:v>
      </x:c>
      <x:c r="B283" s="26" t="n">
        <x:v>111</x:v>
      </x:c>
      <x:c r="C283" s="26" t="str">
        <x:v>Savion Williams</x:v>
      </x:c>
      <x:c r="D283" s="26" t="str">
        <x:v>GB</x:v>
      </x:c>
      <x:c r="E283" s="28" t="n">
        <x:v>46.2</x:v>
      </x:c>
      <x:c r="F283" s="28" t="str">
        <x:v>WR|111</x:v>
      </x:c>
      <x:c r="G283" s="28" t="n">
        <x:f>XLOOKUP(A283,'Assumptions'!$A$12:$A$15,'Assumptions'!$C$12:$C$15)</x:f>
        <x:v>110.6</x:v>
      </x:c>
      <x:c r="H283" s="28" t="n">
        <x:f>E283-G283</x:f>
        <x:v>-64.39999999999999</x:v>
      </x:c>
      <x:c r="I283" s="29" t="n">
        <x:v>0</x:v>
      </x:c>
      <x:c r="J283" s="28" t="n">
        <x:f>H283+I283</x:f>
        <x:v>-64.39999999999999</x:v>
      </x:c>
      <x:c r="K283" s="26" t="str">
        <x:v>Projection-only v1.0</x:v>
      </x:c>
      <x:c r="L283" s="26" t="n">
        <x:f>RANK.EQ(J283,$J$5:$J$619,0)</x:f>
        <x:v>232</x:v>
      </x:c>
      <x:c r="M283" s="26" t="str">
        <x:f>IF(I283=0,"PROJECTION ONLY","EDITORIAL ADJUSTMENT")</x:f>
        <x:v>PROJECTION ONLY</x:v>
      </x:c>
    </x:row>
    <x:row r="284">
      <x:c r="A284" s="26" t="str">
        <x:v>WR</x:v>
      </x:c>
      <x:c r="B284" s="26" t="n">
        <x:v>112</x:v>
      </x:c>
      <x:c r="C284" s="26" t="str">
        <x:v>Darnell Mooney</x:v>
      </x:c>
      <x:c r="D284" s="26" t="str">
        <x:v>NYG</x:v>
      </x:c>
      <x:c r="E284" s="28" t="n">
        <x:v>46.1</x:v>
      </x:c>
      <x:c r="F284" s="28" t="str">
        <x:v>WR|112</x:v>
      </x:c>
      <x:c r="G284" s="28" t="n">
        <x:f>XLOOKUP(A284,'Assumptions'!$A$12:$A$15,'Assumptions'!$C$12:$C$15)</x:f>
        <x:v>110.6</x:v>
      </x:c>
      <x:c r="H284" s="28" t="n">
        <x:f>E284-G284</x:f>
        <x:v>-64.5</x:v>
      </x:c>
      <x:c r="I284" s="29" t="n">
        <x:v>0</x:v>
      </x:c>
      <x:c r="J284" s="28" t="n">
        <x:f>H284+I284</x:f>
        <x:v>-64.5</x:v>
      </x:c>
      <x:c r="K284" s="26" t="str">
        <x:v>Projection-only v1.0</x:v>
      </x:c>
      <x:c r="L284" s="26" t="n">
        <x:f>RANK.EQ(J284,$J$5:$J$619,0)</x:f>
        <x:v>233</x:v>
      </x:c>
      <x:c r="M284" s="26" t="str">
        <x:f>IF(I284=0,"PROJECTION ONLY","EDITORIAL ADJUSTMENT")</x:f>
        <x:v>PROJECTION ONLY</x:v>
      </x:c>
    </x:row>
    <x:row r="285">
      <x:c r="A285" s="26" t="str">
        <x:v>WR</x:v>
      </x:c>
      <x:c r="B285" s="26" t="n">
        <x:v>113</x:v>
      </x:c>
      <x:c r="C285" s="26" t="str">
        <x:v>Devaughn Vele</x:v>
      </x:c>
      <x:c r="D285" s="26" t="str">
        <x:v>NO</x:v>
      </x:c>
      <x:c r="E285" s="28" t="n">
        <x:v>44.9</x:v>
      </x:c>
      <x:c r="F285" s="28" t="str">
        <x:v>WR|113</x:v>
      </x:c>
      <x:c r="G285" s="28" t="n">
        <x:f>XLOOKUP(A285,'Assumptions'!$A$12:$A$15,'Assumptions'!$C$12:$C$15)</x:f>
        <x:v>110.6</x:v>
      </x:c>
      <x:c r="H285" s="28" t="n">
        <x:f>E285-G285</x:f>
        <x:v>-65.69999999999999</x:v>
      </x:c>
      <x:c r="I285" s="29" t="n">
        <x:v>0</x:v>
      </x:c>
      <x:c r="J285" s="28" t="n">
        <x:f>H285+I285</x:f>
        <x:v>-65.69999999999999</x:v>
      </x:c>
      <x:c r="K285" s="26" t="str">
        <x:v>Projection-only v1.0</x:v>
      </x:c>
      <x:c r="L285" s="26" t="n">
        <x:f>RANK.EQ(J285,$J$5:$J$619,0)</x:f>
        <x:v>236</x:v>
      </x:c>
      <x:c r="M285" s="26" t="str">
        <x:f>IF(I285=0,"PROJECTION ONLY","EDITORIAL ADJUSTMENT")</x:f>
        <x:v>PROJECTION ONLY</x:v>
      </x:c>
    </x:row>
    <x:row r="286">
      <x:c r="A286" s="26" t="str">
        <x:v>WR</x:v>
      </x:c>
      <x:c r="B286" s="26" t="n">
        <x:v>114</x:v>
      </x:c>
      <x:c r="C286" s="26" t="str">
        <x:v>Malachi Fields</x:v>
      </x:c>
      <x:c r="D286" s="26" t="str">
        <x:v>NYG</x:v>
      </x:c>
      <x:c r="E286" s="28" t="n">
        <x:v>44.2</x:v>
      </x:c>
      <x:c r="F286" s="28" t="str">
        <x:v>WR|114</x:v>
      </x:c>
      <x:c r="G286" s="28" t="n">
        <x:f>XLOOKUP(A286,'Assumptions'!$A$12:$A$15,'Assumptions'!$C$12:$C$15)</x:f>
        <x:v>110.6</x:v>
      </x:c>
      <x:c r="H286" s="28" t="n">
        <x:f>E286-G286</x:f>
        <x:v>-66.39999999999999</x:v>
      </x:c>
      <x:c r="I286" s="29" t="n">
        <x:v>0</x:v>
      </x:c>
      <x:c r="J286" s="28" t="n">
        <x:f>H286+I286</x:f>
        <x:v>-66.39999999999999</x:v>
      </x:c>
      <x:c r="K286" s="26" t="str">
        <x:v>Projection-only v1.0</x:v>
      </x:c>
      <x:c r="L286" s="26" t="n">
        <x:f>RANK.EQ(J286,$J$5:$J$619,0)</x:f>
        <x:v>239</x:v>
      </x:c>
      <x:c r="M286" s="26" t="str">
        <x:f>IF(I286=0,"PROJECTION ONLY","EDITORIAL ADJUSTMENT")</x:f>
        <x:v>PROJECTION ONLY</x:v>
      </x:c>
    </x:row>
    <x:row r="287">
      <x:c r="A287" s="26" t="str">
        <x:v>WR</x:v>
      </x:c>
      <x:c r="B287" s="26" t="n">
        <x:v>115</x:v>
      </x:c>
      <x:c r="C287" s="26" t="str">
        <x:v>Xavier Hutchinson</x:v>
      </x:c>
      <x:c r="D287" s="26" t="str">
        <x:v>HOU</x:v>
      </x:c>
      <x:c r="E287" s="28" t="n">
        <x:v>44.4</x:v>
      </x:c>
      <x:c r="F287" s="28" t="str">
        <x:v>WR|115</x:v>
      </x:c>
      <x:c r="G287" s="28" t="n">
        <x:f>XLOOKUP(A287,'Assumptions'!$A$12:$A$15,'Assumptions'!$C$12:$C$15)</x:f>
        <x:v>110.6</x:v>
      </x:c>
      <x:c r="H287" s="28" t="n">
        <x:f>E287-G287</x:f>
        <x:v>-66.19999999999999</x:v>
      </x:c>
      <x:c r="I287" s="29" t="n">
        <x:v>0</x:v>
      </x:c>
      <x:c r="J287" s="28" t="n">
        <x:f>H287+I287</x:f>
        <x:v>-66.19999999999999</x:v>
      </x:c>
      <x:c r="K287" s="26" t="str">
        <x:v>Projection-only v1.0</x:v>
      </x:c>
      <x:c r="L287" s="26" t="n">
        <x:f>RANK.EQ(J287,$J$5:$J$619,0)</x:f>
        <x:v>238</x:v>
      </x:c>
      <x:c r="M287" s="26" t="str">
        <x:f>IF(I287=0,"PROJECTION ONLY","EDITORIAL ADJUSTMENT")</x:f>
        <x:v>PROJECTION ONLY</x:v>
      </x:c>
    </x:row>
    <x:row r="288">
      <x:c r="A288" s="26" t="str">
        <x:v>WR</x:v>
      </x:c>
      <x:c r="B288" s="26" t="n">
        <x:v>116</x:v>
      </x:c>
      <x:c r="C288" s="26" t="str">
        <x:v>Tory Horton</x:v>
      </x:c>
      <x:c r="D288" s="26" t="str">
        <x:v>SEA</x:v>
      </x:c>
      <x:c r="E288" s="28" t="n">
        <x:v>45.3</x:v>
      </x:c>
      <x:c r="F288" s="28" t="str">
        <x:v>WR|116</x:v>
      </x:c>
      <x:c r="G288" s="28" t="n">
        <x:f>XLOOKUP(A288,'Assumptions'!$A$12:$A$15,'Assumptions'!$C$12:$C$15)</x:f>
        <x:v>110.6</x:v>
      </x:c>
      <x:c r="H288" s="28" t="n">
        <x:f>E288-G288</x:f>
        <x:v>-65.3</x:v>
      </x:c>
      <x:c r="I288" s="29" t="n">
        <x:v>0</x:v>
      </x:c>
      <x:c r="J288" s="28" t="n">
        <x:f>H288+I288</x:f>
        <x:v>-65.3</x:v>
      </x:c>
      <x:c r="K288" s="26" t="str">
        <x:v>Projection-only v1.0</x:v>
      </x:c>
      <x:c r="L288" s="26" t="n">
        <x:f>RANK.EQ(J288,$J$5:$J$619,0)</x:f>
        <x:v>235</x:v>
      </x:c>
      <x:c r="M288" s="26" t="str">
        <x:f>IF(I288=0,"PROJECTION ONLY","EDITORIAL ADJUSTMENT")</x:f>
        <x:v>PROJECTION ONLY</x:v>
      </x:c>
    </x:row>
    <x:row r="289">
      <x:c r="A289" s="26" t="str">
        <x:v>WR</x:v>
      </x:c>
      <x:c r="B289" s="26" t="n">
        <x:v>117</x:v>
      </x:c>
      <x:c r="C289" s="26" t="str">
        <x:v>Marvin Mims Jr.</x:v>
      </x:c>
      <x:c r="D289" s="26" t="str">
        <x:v>DEN</x:v>
      </x:c>
      <x:c r="E289" s="28" t="n">
        <x:v>43.9</x:v>
      </x:c>
      <x:c r="F289" s="28" t="str">
        <x:v>WR|117</x:v>
      </x:c>
      <x:c r="G289" s="28" t="n">
        <x:f>XLOOKUP(A289,'Assumptions'!$A$12:$A$15,'Assumptions'!$C$12:$C$15)</x:f>
        <x:v>110.6</x:v>
      </x:c>
      <x:c r="H289" s="28" t="n">
        <x:f>E289-G289</x:f>
        <x:v>-66.69999999999999</x:v>
      </x:c>
      <x:c r="I289" s="29" t="n">
        <x:v>0</x:v>
      </x:c>
      <x:c r="J289" s="28" t="n">
        <x:f>H289+I289</x:f>
        <x:v>-66.69999999999999</x:v>
      </x:c>
      <x:c r="K289" s="26" t="str">
        <x:v>Projection-only v1.0</x:v>
      </x:c>
      <x:c r="L289" s="26" t="n">
        <x:f>RANK.EQ(J289,$J$5:$J$619,0)</x:f>
        <x:v>241</x:v>
      </x:c>
      <x:c r="M289" s="26" t="str">
        <x:f>IF(I289=0,"PROJECTION ONLY","EDITORIAL ADJUSTMENT")</x:f>
        <x:v>PROJECTION ONLY</x:v>
      </x:c>
    </x:row>
    <x:row r="290">
      <x:c r="A290" s="26" t="str">
        <x:v>WR</x:v>
      </x:c>
      <x:c r="B290" s="26" t="n">
        <x:v>118</x:v>
      </x:c>
      <x:c r="C290" s="26" t="str">
        <x:v>Bub Means</x:v>
      </x:c>
      <x:c r="D290" s="26" t="str">
        <x:v>NO</x:v>
      </x:c>
      <x:c r="E290" s="28" t="n">
        <x:v>42.1</x:v>
      </x:c>
      <x:c r="F290" s="28" t="str">
        <x:v>WR|118</x:v>
      </x:c>
      <x:c r="G290" s="28" t="n">
        <x:f>XLOOKUP(A290,'Assumptions'!$A$12:$A$15,'Assumptions'!$C$12:$C$15)</x:f>
        <x:v>110.6</x:v>
      </x:c>
      <x:c r="H290" s="28" t="n">
        <x:f>E290-G290</x:f>
        <x:v>-68.5</x:v>
      </x:c>
      <x:c r="I290" s="29" t="n">
        <x:v>0</x:v>
      </x:c>
      <x:c r="J290" s="28" t="n">
        <x:f>H290+I290</x:f>
        <x:v>-68.5</x:v>
      </x:c>
      <x:c r="K290" s="26" t="str">
        <x:v>Projection-only v1.0</x:v>
      </x:c>
      <x:c r="L290" s="26" t="n">
        <x:f>RANK.EQ(J290,$J$5:$J$619,0)</x:f>
        <x:v>243</x:v>
      </x:c>
      <x:c r="M290" s="26" t="str">
        <x:f>IF(I290=0,"PROJECTION ONLY","EDITORIAL ADJUSTMENT")</x:f>
        <x:v>PROJECTION ONLY</x:v>
      </x:c>
    </x:row>
    <x:row r="291">
      <x:c r="A291" s="26" t="str">
        <x:v>WR</x:v>
      </x:c>
      <x:c r="B291" s="26" t="n">
        <x:v>119</x:v>
      </x:c>
      <x:c r="C291" s="26" t="str">
        <x:v>Bryce Lance</x:v>
      </x:c>
      <x:c r="D291" s="26" t="str">
        <x:v>NO</x:v>
      </x:c>
      <x:c r="E291" s="28" t="n">
        <x:v>40.6</x:v>
      </x:c>
      <x:c r="F291" s="28" t="str">
        <x:v>WR|119</x:v>
      </x:c>
      <x:c r="G291" s="28" t="n">
        <x:f>XLOOKUP(A291,'Assumptions'!$A$12:$A$15,'Assumptions'!$C$12:$C$15)</x:f>
        <x:v>110.6</x:v>
      </x:c>
      <x:c r="H291" s="28" t="n">
        <x:f>E291-G291</x:f>
        <x:v>-70</x:v>
      </x:c>
      <x:c r="I291" s="29" t="n">
        <x:v>0</x:v>
      </x:c>
      <x:c r="J291" s="28" t="n">
        <x:f>H291+I291</x:f>
        <x:v>-70</x:v>
      </x:c>
      <x:c r="K291" s="26" t="str">
        <x:v>Projection-only v1.0</x:v>
      </x:c>
      <x:c r="L291" s="26" t="n">
        <x:f>RANK.EQ(J291,$J$5:$J$619,0)</x:f>
        <x:v>246</x:v>
      </x:c>
      <x:c r="M291" s="26" t="str">
        <x:f>IF(I291=0,"PROJECTION ONLY","EDITORIAL ADJUSTMENT")</x:f>
        <x:v>PROJECTION ONLY</x:v>
      </x:c>
    </x:row>
    <x:row r="292">
      <x:c r="A292" s="26" t="str">
        <x:v>WR</x:v>
      </x:c>
      <x:c r="B292" s="26" t="n">
        <x:v>120</x:v>
      </x:c>
      <x:c r="C292" s="26" t="str">
        <x:v>Cyrus Allen</x:v>
      </x:c>
      <x:c r="D292" s="26" t="str">
        <x:v>KC</x:v>
      </x:c>
      <x:c r="E292" s="28" t="n">
        <x:v>40.8</x:v>
      </x:c>
      <x:c r="F292" s="28" t="str">
        <x:v>WR|120</x:v>
      </x:c>
      <x:c r="G292" s="28" t="n">
        <x:f>XLOOKUP(A292,'Assumptions'!$A$12:$A$15,'Assumptions'!$C$12:$C$15)</x:f>
        <x:v>110.6</x:v>
      </x:c>
      <x:c r="H292" s="28" t="n">
        <x:f>E292-G292</x:f>
        <x:v>-69.8</x:v>
      </x:c>
      <x:c r="I292" s="29" t="n">
        <x:v>0</x:v>
      </x:c>
      <x:c r="J292" s="28" t="n">
        <x:f>H292+I292</x:f>
        <x:v>-69.8</x:v>
      </x:c>
      <x:c r="K292" s="26" t="str">
        <x:v>Projection-only v1.0</x:v>
      </x:c>
      <x:c r="L292" s="26" t="n">
        <x:f>RANK.EQ(J292,$J$5:$J$619,0)</x:f>
        <x:v>245</x:v>
      </x:c>
      <x:c r="M292" s="26" t="str">
        <x:f>IF(I292=0,"PROJECTION ONLY","EDITORIAL ADJUSTMENT")</x:f>
        <x:v>PROJECTION ONLY</x:v>
      </x:c>
    </x:row>
    <x:row r="293">
      <x:c r="A293" s="26" t="str">
        <x:v>WR</x:v>
      </x:c>
      <x:c r="B293" s="26" t="n">
        <x:v>121</x:v>
      </x:c>
      <x:c r="C293" s="26" t="str">
        <x:v>Kyle Williams</x:v>
      </x:c>
      <x:c r="D293" s="26" t="str">
        <x:v>NE</x:v>
      </x:c>
      <x:c r="E293" s="28" t="n">
        <x:v>39.7</x:v>
      </x:c>
      <x:c r="F293" s="28" t="str">
        <x:v>WR|121</x:v>
      </x:c>
      <x:c r="G293" s="28" t="n">
        <x:f>XLOOKUP(A293,'Assumptions'!$A$12:$A$15,'Assumptions'!$C$12:$C$15)</x:f>
        <x:v>110.6</x:v>
      </x:c>
      <x:c r="H293" s="28" t="n">
        <x:f>E293-G293</x:f>
        <x:v>-70.89999999999999</x:v>
      </x:c>
      <x:c r="I293" s="29" t="n">
        <x:v>0</x:v>
      </x:c>
      <x:c r="J293" s="28" t="n">
        <x:f>H293+I293</x:f>
        <x:v>-70.89999999999999</x:v>
      </x:c>
      <x:c r="K293" s="26" t="str">
        <x:v>Projection-only v1.0</x:v>
      </x:c>
      <x:c r="L293" s="26" t="n">
        <x:f>RANK.EQ(J293,$J$5:$J$619,0)</x:f>
        <x:v>249</x:v>
      </x:c>
      <x:c r="M293" s="26" t="str">
        <x:f>IF(I293=0,"PROJECTION ONLY","EDITORIAL ADJUSTMENT")</x:f>
        <x:v>PROJECTION ONLY</x:v>
      </x:c>
    </x:row>
    <x:row r="294">
      <x:c r="A294" s="26" t="str">
        <x:v>WR</x:v>
      </x:c>
      <x:c r="B294" s="26" t="n">
        <x:v>122</x:v>
      </x:c>
      <x:c r="C294" s="26" t="str">
        <x:v>DeMario Douglas</x:v>
      </x:c>
      <x:c r="D294" s="26" t="str">
        <x:v>NE</x:v>
      </x:c>
      <x:c r="E294" s="28" t="n">
        <x:v>36.4</x:v>
      </x:c>
      <x:c r="F294" s="28" t="str">
        <x:v>WR|122</x:v>
      </x:c>
      <x:c r="G294" s="28" t="n">
        <x:f>XLOOKUP(A294,'Assumptions'!$A$12:$A$15,'Assumptions'!$C$12:$C$15)</x:f>
        <x:v>110.6</x:v>
      </x:c>
      <x:c r="H294" s="28" t="n">
        <x:f>E294-G294</x:f>
        <x:v>-74.19999999999999</x:v>
      </x:c>
      <x:c r="I294" s="29" t="n">
        <x:v>0</x:v>
      </x:c>
      <x:c r="J294" s="28" t="n">
        <x:f>H294+I294</x:f>
        <x:v>-74.19999999999999</x:v>
      </x:c>
      <x:c r="K294" s="26" t="str">
        <x:v>Projection-only v1.0</x:v>
      </x:c>
      <x:c r="L294" s="26" t="n">
        <x:f>RANK.EQ(J294,$J$5:$J$619,0)</x:f>
        <x:v>252</x:v>
      </x:c>
      <x:c r="M294" s="26" t="str">
        <x:f>IF(I294=0,"PROJECTION ONLY","EDITORIAL ADJUSTMENT")</x:f>
        <x:v>PROJECTION ONLY</x:v>
      </x:c>
    </x:row>
    <x:row r="295">
      <x:c r="A295" s="26" t="str">
        <x:v>WR</x:v>
      </x:c>
      <x:c r="B295" s="26" t="n">
        <x:v>123</x:v>
      </x:c>
      <x:c r="C295" s="26" t="str">
        <x:v>Antonio Williams</x:v>
      </x:c>
      <x:c r="D295" s="26" t="str">
        <x:v>WAS</x:v>
      </x:c>
      <x:c r="E295" s="28" t="n">
        <x:v>35.1</x:v>
      </x:c>
      <x:c r="F295" s="28" t="str">
        <x:v>WR|123</x:v>
      </x:c>
      <x:c r="G295" s="28" t="n">
        <x:f>XLOOKUP(A295,'Assumptions'!$A$12:$A$15,'Assumptions'!$C$12:$C$15)</x:f>
        <x:v>110.6</x:v>
      </x:c>
      <x:c r="H295" s="28" t="n">
        <x:f>E295-G295</x:f>
        <x:v>-75.5</x:v>
      </x:c>
      <x:c r="I295" s="29" t="n">
        <x:v>0</x:v>
      </x:c>
      <x:c r="J295" s="28" t="n">
        <x:f>H295+I295</x:f>
        <x:v>-75.5</x:v>
      </x:c>
      <x:c r="K295" s="26" t="str">
        <x:v>Projection-only v1.0</x:v>
      </x:c>
      <x:c r="L295" s="26" t="n">
        <x:f>RANK.EQ(J295,$J$5:$J$619,0)</x:f>
        <x:v>254</x:v>
      </x:c>
      <x:c r="M295" s="26" t="str">
        <x:f>IF(I295=0,"PROJECTION ONLY","EDITORIAL ADJUSTMENT")</x:f>
        <x:v>PROJECTION ONLY</x:v>
      </x:c>
    </x:row>
    <x:row r="296">
      <x:c r="A296" s="26" t="str">
        <x:v>WR</x:v>
      </x:c>
      <x:c r="B296" s="26" t="n">
        <x:v>124</x:v>
      </x:c>
      <x:c r="C296" s="26" t="str">
        <x:v>Brenen Thompson</x:v>
      </x:c>
      <x:c r="D296" s="26" t="str">
        <x:v>LAC</x:v>
      </x:c>
      <x:c r="E296" s="28" t="n">
        <x:v>34.3</x:v>
      </x:c>
      <x:c r="F296" s="28" t="str">
        <x:v>WR|124</x:v>
      </x:c>
      <x:c r="G296" s="28" t="n">
        <x:f>XLOOKUP(A296,'Assumptions'!$A$12:$A$15,'Assumptions'!$C$12:$C$15)</x:f>
        <x:v>110.6</x:v>
      </x:c>
      <x:c r="H296" s="28" t="n">
        <x:f>E296-G296</x:f>
        <x:v>-76.3</x:v>
      </x:c>
      <x:c r="I296" s="29" t="n">
        <x:v>0</x:v>
      </x:c>
      <x:c r="J296" s="28" t="n">
        <x:f>H296+I296</x:f>
        <x:v>-76.3</x:v>
      </x:c>
      <x:c r="K296" s="26" t="str">
        <x:v>Projection-only v1.0</x:v>
      </x:c>
      <x:c r="L296" s="26" t="n">
        <x:f>RANK.EQ(J296,$J$5:$J$619,0)</x:f>
        <x:v>255</x:v>
      </x:c>
      <x:c r="M296" s="26" t="str">
        <x:f>IF(I296=0,"PROJECTION ONLY","EDITORIAL ADJUSTMENT")</x:f>
        <x:v>PROJECTION ONLY</x:v>
      </x:c>
    </x:row>
    <x:row r="297">
      <x:c r="A297" s="26" t="str">
        <x:v>WR</x:v>
      </x:c>
      <x:c r="B297" s="26" t="n">
        <x:v>125</x:v>
      </x:c>
      <x:c r="C297" s="26" t="str">
        <x:v>KaVontae Turpin</x:v>
      </x:c>
      <x:c r="D297" s="26" t="str">
        <x:v>DAL</x:v>
      </x:c>
      <x:c r="E297" s="28" t="n">
        <x:v>36.3</x:v>
      </x:c>
      <x:c r="F297" s="28" t="str">
        <x:v>WR|125</x:v>
      </x:c>
      <x:c r="G297" s="28" t="n">
        <x:f>XLOOKUP(A297,'Assumptions'!$A$12:$A$15,'Assumptions'!$C$12:$C$15)</x:f>
        <x:v>110.6</x:v>
      </x:c>
      <x:c r="H297" s="28" t="n">
        <x:f>E297-G297</x:f>
        <x:v>-74.3</x:v>
      </x:c>
      <x:c r="I297" s="29" t="n">
        <x:v>0</x:v>
      </x:c>
      <x:c r="J297" s="28" t="n">
        <x:f>H297+I297</x:f>
        <x:v>-74.3</x:v>
      </x:c>
      <x:c r="K297" s="26" t="str">
        <x:v>Projection-only v1.0</x:v>
      </x:c>
      <x:c r="L297" s="26" t="n">
        <x:f>RANK.EQ(J297,$J$5:$J$619,0)</x:f>
        <x:v>253</x:v>
      </x:c>
      <x:c r="M297" s="26" t="str">
        <x:f>IF(I297=0,"PROJECTION ONLY","EDITORIAL ADJUSTMENT")</x:f>
        <x:v>PROJECTION ONLY</x:v>
      </x:c>
    </x:row>
    <x:row r="298">
      <x:c r="A298" s="26" t="str">
        <x:v>WR</x:v>
      </x:c>
      <x:c r="B298" s="26" t="n">
        <x:v>126</x:v>
      </x:c>
      <x:c r="C298" s="26" t="str">
        <x:v>Calvin Austin III</x:v>
      </x:c>
      <x:c r="D298" s="26" t="str">
        <x:v>NYG</x:v>
      </x:c>
      <x:c r="E298" s="28" t="n">
        <x:v>32.5</x:v>
      </x:c>
      <x:c r="F298" s="28" t="str">
        <x:v>WR|126</x:v>
      </x:c>
      <x:c r="G298" s="28" t="n">
        <x:f>XLOOKUP(A298,'Assumptions'!$A$12:$A$15,'Assumptions'!$C$12:$C$15)</x:f>
        <x:v>110.6</x:v>
      </x:c>
      <x:c r="H298" s="28" t="n">
        <x:f>E298-G298</x:f>
        <x:v>-78.1</x:v>
      </x:c>
      <x:c r="I298" s="29" t="n">
        <x:v>0</x:v>
      </x:c>
      <x:c r="J298" s="28" t="n">
        <x:f>H298+I298</x:f>
        <x:v>-78.1</x:v>
      </x:c>
      <x:c r="K298" s="26" t="str">
        <x:v>Projection-only v1.0</x:v>
      </x:c>
      <x:c r="L298" s="26" t="n">
        <x:f>RANK.EQ(J298,$J$5:$J$619,0)</x:f>
        <x:v>258</x:v>
      </x:c>
      <x:c r="M298" s="26" t="str">
        <x:f>IF(I298=0,"PROJECTION ONLY","EDITORIAL ADJUSTMENT")</x:f>
        <x:v>PROJECTION ONLY</x:v>
      </x:c>
    </x:row>
    <x:row r="299">
      <x:c r="A299" s="26" t="str">
        <x:v>WR</x:v>
      </x:c>
      <x:c r="B299" s="26" t="n">
        <x:v>127</x:v>
      </x:c>
      <x:c r="C299" s="26" t="str">
        <x:v>Skyler Bell</x:v>
      </x:c>
      <x:c r="D299" s="26" t="str">
        <x:v>BUF</x:v>
      </x:c>
      <x:c r="E299" s="28" t="n">
        <x:v>32.1</x:v>
      </x:c>
      <x:c r="F299" s="28" t="str">
        <x:v>WR|127</x:v>
      </x:c>
      <x:c r="G299" s="28" t="n">
        <x:f>XLOOKUP(A299,'Assumptions'!$A$12:$A$15,'Assumptions'!$C$12:$C$15)</x:f>
        <x:v>110.6</x:v>
      </x:c>
      <x:c r="H299" s="28" t="n">
        <x:f>E299-G299</x:f>
        <x:v>-78.5</x:v>
      </x:c>
      <x:c r="I299" s="29" t="n">
        <x:v>0</x:v>
      </x:c>
      <x:c r="J299" s="28" t="n">
        <x:f>H299+I299</x:f>
        <x:v>-78.5</x:v>
      </x:c>
      <x:c r="K299" s="26" t="str">
        <x:v>Projection-only v1.0</x:v>
      </x:c>
      <x:c r="L299" s="26" t="n">
        <x:f>RANK.EQ(J299,$J$5:$J$619,0)</x:f>
        <x:v>262</x:v>
      </x:c>
      <x:c r="M299" s="26" t="str">
        <x:f>IF(I299=0,"PROJECTION ONLY","EDITORIAL ADJUSTMENT")</x:f>
        <x:v>PROJECTION ONLY</x:v>
      </x:c>
    </x:row>
    <x:row r="300">
      <x:c r="A300" s="26" t="str">
        <x:v>WR</x:v>
      </x:c>
      <x:c r="B300" s="26" t="n">
        <x:v>128</x:v>
      </x:c>
      <x:c r="C300" s="26" t="str">
        <x:v>Kalif Raymond</x:v>
      </x:c>
      <x:c r="D300" s="26" t="str">
        <x:v>CHI</x:v>
      </x:c>
      <x:c r="E300" s="28" t="n">
        <x:v>31.9</x:v>
      </x:c>
      <x:c r="F300" s="28" t="str">
        <x:v>WR|128</x:v>
      </x:c>
      <x:c r="G300" s="28" t="n">
        <x:f>XLOOKUP(A300,'Assumptions'!$A$12:$A$15,'Assumptions'!$C$12:$C$15)</x:f>
        <x:v>110.6</x:v>
      </x:c>
      <x:c r="H300" s="28" t="n">
        <x:f>E300-G300</x:f>
        <x:v>-78.69999999999999</x:v>
      </x:c>
      <x:c r="I300" s="29" t="n">
        <x:v>0</x:v>
      </x:c>
      <x:c r="J300" s="28" t="n">
        <x:f>H300+I300</x:f>
        <x:v>-78.69999999999999</x:v>
      </x:c>
      <x:c r="K300" s="26" t="str">
        <x:v>Projection-only v1.0</x:v>
      </x:c>
      <x:c r="L300" s="26" t="n">
        <x:f>RANK.EQ(J300,$J$5:$J$619,0)</x:f>
        <x:v>263</x:v>
      </x:c>
      <x:c r="M300" s="26" t="str">
        <x:f>IF(I300=0,"PROJECTION ONLY","EDITORIAL ADJUSTMENT")</x:f>
        <x:v>PROJECTION ONLY</x:v>
      </x:c>
    </x:row>
    <x:row r="301">
      <x:c r="A301" s="26" t="str">
        <x:v>WR</x:v>
      </x:c>
      <x:c r="B301" s="26" t="n">
        <x:v>129</x:v>
      </x:c>
      <x:c r="C301" s="26" t="str">
        <x:v>Roman Wilson</x:v>
      </x:c>
      <x:c r="D301" s="26" t="str">
        <x:v>PIT</x:v>
      </x:c>
      <x:c r="E301" s="28" t="n">
        <x:v>30.4</x:v>
      </x:c>
      <x:c r="F301" s="28" t="str">
        <x:v>WR|129</x:v>
      </x:c>
      <x:c r="G301" s="28" t="n">
        <x:f>XLOOKUP(A301,'Assumptions'!$A$12:$A$15,'Assumptions'!$C$12:$C$15)</x:f>
        <x:v>110.6</x:v>
      </x:c>
      <x:c r="H301" s="28" t="n">
        <x:f>E301-G301</x:f>
        <x:v>-80.19999999999999</x:v>
      </x:c>
      <x:c r="I301" s="29" t="n">
        <x:v>0</x:v>
      </x:c>
      <x:c r="J301" s="28" t="n">
        <x:f>H301+I301</x:f>
        <x:v>-80.19999999999999</x:v>
      </x:c>
      <x:c r="K301" s="26" t="str">
        <x:v>Projection-only v1.0</x:v>
      </x:c>
      <x:c r="L301" s="26" t="n">
        <x:f>RANK.EQ(J301,$J$5:$J$619,0)</x:f>
        <x:v>264</x:v>
      </x:c>
      <x:c r="M301" s="26" t="str">
        <x:f>IF(I301=0,"PROJECTION ONLY","EDITORIAL ADJUSTMENT")</x:f>
        <x:v>PROJECTION ONLY</x:v>
      </x:c>
    </x:row>
    <x:row r="302">
      <x:c r="A302" s="26" t="str">
        <x:v>WR</x:v>
      </x:c>
      <x:c r="B302" s="26" t="n">
        <x:v>130</x:v>
      </x:c>
      <x:c r="C302" s="26" t="str">
        <x:v>Ashton Dulin</x:v>
      </x:c>
      <x:c r="D302" s="26" t="str">
        <x:v>IND</x:v>
      </x:c>
      <x:c r="E302" s="28" t="n">
        <x:v>32.3</x:v>
      </x:c>
      <x:c r="F302" s="28" t="str">
        <x:v>WR|130</x:v>
      </x:c>
      <x:c r="G302" s="28" t="n">
        <x:f>XLOOKUP(A302,'Assumptions'!$A$12:$A$15,'Assumptions'!$C$12:$C$15)</x:f>
        <x:v>110.6</x:v>
      </x:c>
      <x:c r="H302" s="28" t="n">
        <x:f>E302-G302</x:f>
        <x:v>-78.3</x:v>
      </x:c>
      <x:c r="I302" s="29" t="n">
        <x:v>0</x:v>
      </x:c>
      <x:c r="J302" s="28" t="n">
        <x:f>H302+I302</x:f>
        <x:v>-78.3</x:v>
      </x:c>
      <x:c r="K302" s="26" t="str">
        <x:v>Projection-only v1.0</x:v>
      </x:c>
      <x:c r="L302" s="26" t="n">
        <x:f>RANK.EQ(J302,$J$5:$J$619,0)</x:f>
        <x:v>260</x:v>
      </x:c>
      <x:c r="M302" s="26" t="str">
        <x:f>IF(I302=0,"PROJECTION ONLY","EDITORIAL ADJUSTMENT")</x:f>
        <x:v>PROJECTION ONLY</x:v>
      </x:c>
    </x:row>
    <x:row r="303">
      <x:c r="A303" s="26" t="str">
        <x:v>WR</x:v>
      </x:c>
      <x:c r="B303" s="26" t="n">
        <x:v>131</x:v>
      </x:c>
      <x:c r="C303" s="26" t="str">
        <x:v>Jordan Whittington</x:v>
      </x:c>
      <x:c r="D303" s="26" t="str">
        <x:v>LAR</x:v>
      </x:c>
      <x:c r="E303" s="28" t="n">
        <x:v>28.1</x:v>
      </x:c>
      <x:c r="F303" s="28" t="str">
        <x:v>WR|131</x:v>
      </x:c>
      <x:c r="G303" s="28" t="n">
        <x:f>XLOOKUP(A303,'Assumptions'!$A$12:$A$15,'Assumptions'!$C$12:$C$15)</x:f>
        <x:v>110.6</x:v>
      </x:c>
      <x:c r="H303" s="28" t="n">
        <x:f>E303-G303</x:f>
        <x:v>-82.5</x:v>
      </x:c>
      <x:c r="I303" s="29" t="n">
        <x:v>0</x:v>
      </x:c>
      <x:c r="J303" s="28" t="n">
        <x:f>H303+I303</x:f>
        <x:v>-82.5</x:v>
      </x:c>
      <x:c r="K303" s="26" t="str">
        <x:v>Projection-only v1.0</x:v>
      </x:c>
      <x:c r="L303" s="26" t="n">
        <x:f>RANK.EQ(J303,$J$5:$J$619,0)</x:f>
        <x:v>268</x:v>
      </x:c>
      <x:c r="M303" s="26" t="str">
        <x:f>IF(I303=0,"PROJECTION ONLY","EDITORIAL ADJUSTMENT")</x:f>
        <x:v>PROJECTION ONLY</x:v>
      </x:c>
    </x:row>
    <x:row r="304">
      <x:c r="A304" s="26" t="str">
        <x:v>WR</x:v>
      </x:c>
      <x:c r="B304" s="26" t="n">
        <x:v>132</x:v>
      </x:c>
      <x:c r="C304" s="26" t="str">
        <x:v>Dyami Brown</x:v>
      </x:c>
      <x:c r="D304" s="26" t="str">
        <x:v>WAS</x:v>
      </x:c>
      <x:c r="E304" s="28" t="n">
        <x:v>28.4</x:v>
      </x:c>
      <x:c r="F304" s="28" t="str">
        <x:v>WR|132</x:v>
      </x:c>
      <x:c r="G304" s="28" t="n">
        <x:f>XLOOKUP(A304,'Assumptions'!$A$12:$A$15,'Assumptions'!$C$12:$C$15)</x:f>
        <x:v>110.6</x:v>
      </x:c>
      <x:c r="H304" s="28" t="n">
        <x:f>E304-G304</x:f>
        <x:v>-82.19999999999999</x:v>
      </x:c>
      <x:c r="I304" s="29" t="n">
        <x:v>0</x:v>
      </x:c>
      <x:c r="J304" s="28" t="n">
        <x:f>H304+I304</x:f>
        <x:v>-82.19999999999999</x:v>
      </x:c>
      <x:c r="K304" s="26" t="str">
        <x:v>Projection-only v1.0</x:v>
      </x:c>
      <x:c r="L304" s="26" t="n">
        <x:f>RANK.EQ(J304,$J$5:$J$619,0)</x:f>
        <x:v>267</x:v>
      </x:c>
      <x:c r="M304" s="26" t="str">
        <x:f>IF(I304=0,"PROJECTION ONLY","EDITORIAL ADJUSTMENT")</x:f>
        <x:v>PROJECTION ONLY</x:v>
      </x:c>
    </x:row>
    <x:row r="305">
      <x:c r="A305" s="26" t="str">
        <x:v>WR</x:v>
      </x:c>
      <x:c r="B305" s="26" t="n">
        <x:v>133</x:v>
      </x:c>
      <x:c r="C305" s="26" t="str">
        <x:v>Tutu Atwell</x:v>
      </x:c>
      <x:c r="D305" s="26" t="str">
        <x:v>MIA</x:v>
      </x:c>
      <x:c r="E305" s="28" t="n">
        <x:v>27.7</x:v>
      </x:c>
      <x:c r="F305" s="28" t="str">
        <x:v>WR|133</x:v>
      </x:c>
      <x:c r="G305" s="28" t="n">
        <x:f>XLOOKUP(A305,'Assumptions'!$A$12:$A$15,'Assumptions'!$C$12:$C$15)</x:f>
        <x:v>110.6</x:v>
      </x:c>
      <x:c r="H305" s="28" t="n">
        <x:f>E305-G305</x:f>
        <x:v>-82.89999999999999</x:v>
      </x:c>
      <x:c r="I305" s="29" t="n">
        <x:v>0</x:v>
      </x:c>
      <x:c r="J305" s="28" t="n">
        <x:f>H305+I305</x:f>
        <x:v>-82.89999999999999</x:v>
      </x:c>
      <x:c r="K305" s="26" t="str">
        <x:v>Projection-only v1.0</x:v>
      </x:c>
      <x:c r="L305" s="26" t="n">
        <x:f>RANK.EQ(J305,$J$5:$J$619,0)</x:f>
        <x:v>269</x:v>
      </x:c>
      <x:c r="M305" s="26" t="str">
        <x:f>IF(I305=0,"PROJECTION ONLY","EDITORIAL ADJUSTMENT")</x:f>
        <x:v>PROJECTION ONLY</x:v>
      </x:c>
    </x:row>
    <x:row r="306">
      <x:c r="A306" s="26" t="str">
        <x:v>WR</x:v>
      </x:c>
      <x:c r="B306" s="26" t="n">
        <x:v>134</x:v>
      </x:c>
      <x:c r="C306" s="26" t="str">
        <x:v>Odell Beckham Jr.</x:v>
      </x:c>
      <x:c r="D306" s="26" t="str">
        <x:v>NYG</x:v>
      </x:c>
      <x:c r="E306" s="28" t="n">
        <x:v>25.8</x:v>
      </x:c>
      <x:c r="F306" s="28" t="str">
        <x:v>WR|134</x:v>
      </x:c>
      <x:c r="G306" s="28" t="n">
        <x:f>XLOOKUP(A306,'Assumptions'!$A$12:$A$15,'Assumptions'!$C$12:$C$15)</x:f>
        <x:v>110.6</x:v>
      </x:c>
      <x:c r="H306" s="28" t="n">
        <x:f>E306-G306</x:f>
        <x:v>-84.8</x:v>
      </x:c>
      <x:c r="I306" s="29" t="n">
        <x:v>0</x:v>
      </x:c>
      <x:c r="J306" s="28" t="n">
        <x:f>H306+I306</x:f>
        <x:v>-84.8</x:v>
      </x:c>
      <x:c r="K306" s="26" t="str">
        <x:v>Projection-only v1.0</x:v>
      </x:c>
      <x:c r="L306" s="26" t="n">
        <x:f>RANK.EQ(J306,$J$5:$J$619,0)</x:f>
        <x:v>274</x:v>
      </x:c>
      <x:c r="M306" s="26" t="str">
        <x:f>IF(I306=0,"PROJECTION ONLY","EDITORIAL ADJUSTMENT")</x:f>
        <x:v>PROJECTION ONLY</x:v>
      </x:c>
    </x:row>
    <x:row r="307">
      <x:c r="A307" s="26" t="str">
        <x:v>WR</x:v>
      </x:c>
      <x:c r="B307" s="26" t="n">
        <x:v>135</x:v>
      </x:c>
      <x:c r="C307" s="26" t="str">
        <x:v>Kevin Coleman Jr.</x:v>
      </x:c>
      <x:c r="D307" s="26" t="str">
        <x:v>MIA</x:v>
      </x:c>
      <x:c r="E307" s="28" t="n">
        <x:v>25.7</x:v>
      </x:c>
      <x:c r="F307" s="28" t="str">
        <x:v>WR|135</x:v>
      </x:c>
      <x:c r="G307" s="28" t="n">
        <x:f>XLOOKUP(A307,'Assumptions'!$A$12:$A$15,'Assumptions'!$C$12:$C$15)</x:f>
        <x:v>110.6</x:v>
      </x:c>
      <x:c r="H307" s="28" t="n">
        <x:f>E307-G307</x:f>
        <x:v>-84.89999999999999</x:v>
      </x:c>
      <x:c r="I307" s="29" t="n">
        <x:v>0</x:v>
      </x:c>
      <x:c r="J307" s="28" t="n">
        <x:f>H307+I307</x:f>
        <x:v>-84.89999999999999</x:v>
      </x:c>
      <x:c r="K307" s="26" t="str">
        <x:v>Projection-only v1.0</x:v>
      </x:c>
      <x:c r="L307" s="26" t="n">
        <x:f>RANK.EQ(J307,$J$5:$J$619,0)</x:f>
        <x:v>276</x:v>
      </x:c>
      <x:c r="M307" s="26" t="str">
        <x:f>IF(I307=0,"PROJECTION ONLY","EDITORIAL ADJUSTMENT")</x:f>
        <x:v>PROJECTION ONLY</x:v>
      </x:c>
    </x:row>
    <x:row r="308">
      <x:c r="A308" s="26" t="str">
        <x:v>WR</x:v>
      </x:c>
      <x:c r="B308" s="26" t="n">
        <x:v>136</x:v>
      </x:c>
      <x:c r="C308" s="26" t="str">
        <x:v>Demarcus Robinson</x:v>
      </x:c>
      <x:c r="D308" s="26" t="str">
        <x:v>SF</x:v>
      </x:c>
      <x:c r="E308" s="28" t="n">
        <x:v>26.3</x:v>
      </x:c>
      <x:c r="F308" s="28" t="str">
        <x:v>WR|136</x:v>
      </x:c>
      <x:c r="G308" s="28" t="n">
        <x:f>XLOOKUP(A308,'Assumptions'!$A$12:$A$15,'Assumptions'!$C$12:$C$15)</x:f>
        <x:v>110.6</x:v>
      </x:c>
      <x:c r="H308" s="28" t="n">
        <x:f>E308-G308</x:f>
        <x:v>-84.3</x:v>
      </x:c>
      <x:c r="I308" s="29" t="n">
        <x:v>0</x:v>
      </x:c>
      <x:c r="J308" s="28" t="n">
        <x:f>H308+I308</x:f>
        <x:v>-84.3</x:v>
      </x:c>
      <x:c r="K308" s="26" t="str">
        <x:v>Projection-only v1.0</x:v>
      </x:c>
      <x:c r="L308" s="26" t="n">
        <x:f>RANK.EQ(J308,$J$5:$J$619,0)</x:f>
        <x:v>272</x:v>
      </x:c>
      <x:c r="M308" s="26" t="str">
        <x:f>IF(I308=0,"PROJECTION ONLY","EDITORIAL ADJUSTMENT")</x:f>
        <x:v>PROJECTION ONLY</x:v>
      </x:c>
    </x:row>
    <x:row r="309">
      <x:c r="A309" s="26" t="str">
        <x:v>WR</x:v>
      </x:c>
      <x:c r="B309" s="26" t="n">
        <x:v>137</x:v>
      </x:c>
      <x:c r="C309" s="26" t="str">
        <x:v>Van Jefferson</x:v>
      </x:c>
      <x:c r="D309" s="26" t="str">
        <x:v>WAS</x:v>
      </x:c>
      <x:c r="E309" s="28" t="n">
        <x:v>26</x:v>
      </x:c>
      <x:c r="F309" s="28" t="str">
        <x:v>WR|137</x:v>
      </x:c>
      <x:c r="G309" s="28" t="n">
        <x:f>XLOOKUP(A309,'Assumptions'!$A$12:$A$15,'Assumptions'!$C$12:$C$15)</x:f>
        <x:v>110.6</x:v>
      </x:c>
      <x:c r="H309" s="28" t="n">
        <x:f>E309-G309</x:f>
        <x:v>-84.6</x:v>
      </x:c>
      <x:c r="I309" s="29" t="n">
        <x:v>0</x:v>
      </x:c>
      <x:c r="J309" s="28" t="n">
        <x:f>H309+I309</x:f>
        <x:v>-84.6</x:v>
      </x:c>
      <x:c r="K309" s="26" t="str">
        <x:v>Projection-only v1.0</x:v>
      </x:c>
      <x:c r="L309" s="26" t="n">
        <x:f>RANK.EQ(J309,$J$5:$J$619,0)</x:f>
        <x:v>273</x:v>
      </x:c>
      <x:c r="M309" s="26" t="str">
        <x:f>IF(I309=0,"PROJECTION ONLY","EDITORIAL ADJUSTMENT")</x:f>
        <x:v>PROJECTION ONLY</x:v>
      </x:c>
    </x:row>
    <x:row r="310">
      <x:c r="A310" s="26" t="str">
        <x:v>WR</x:v>
      </x:c>
      <x:c r="B310" s="26" t="n">
        <x:v>138</x:v>
      </x:c>
      <x:c r="C310" s="26" t="str">
        <x:v>Nick Westbrook-Ikhine</x:v>
      </x:c>
      <x:c r="D310" s="26" t="str">
        <x:v>IND</x:v>
      </x:c>
      <x:c r="E310" s="28" t="n">
        <x:v>24.2</x:v>
      </x:c>
      <x:c r="F310" s="28" t="str">
        <x:v>WR|138</x:v>
      </x:c>
      <x:c r="G310" s="28" t="n">
        <x:f>XLOOKUP(A310,'Assumptions'!$A$12:$A$15,'Assumptions'!$C$12:$C$15)</x:f>
        <x:v>110.6</x:v>
      </x:c>
      <x:c r="H310" s="28" t="n">
        <x:f>E310-G310</x:f>
        <x:v>-86.39999999999999</x:v>
      </x:c>
      <x:c r="I310" s="29" t="n">
        <x:v>0</x:v>
      </x:c>
      <x:c r="J310" s="28" t="n">
        <x:f>H310+I310</x:f>
        <x:v>-86.39999999999999</x:v>
      </x:c>
      <x:c r="K310" s="26" t="str">
        <x:v>Projection-only v1.0</x:v>
      </x:c>
      <x:c r="L310" s="26" t="n">
        <x:f>RANK.EQ(J310,$J$5:$J$619,0)</x:f>
        <x:v>279</x:v>
      </x:c>
      <x:c r="M310" s="26" t="str">
        <x:f>IF(I310=0,"PROJECTION ONLY","EDITORIAL ADJUSTMENT")</x:f>
        <x:v>PROJECTION ONLY</x:v>
      </x:c>
    </x:row>
    <x:row r="311">
      <x:c r="A311" s="26" t="str">
        <x:v>WR</x:v>
      </x:c>
      <x:c r="B311" s="26" t="n">
        <x:v>139</x:v>
      </x:c>
      <x:c r="C311" s="26" t="str">
        <x:v>Treylon Burks</x:v>
      </x:c>
      <x:c r="D311" s="26" t="str">
        <x:v>WAS</x:v>
      </x:c>
      <x:c r="E311" s="28" t="n">
        <x:v>21.4</x:v>
      </x:c>
      <x:c r="F311" s="28" t="str">
        <x:v>WR|139</x:v>
      </x:c>
      <x:c r="G311" s="28" t="n">
        <x:f>XLOOKUP(A311,'Assumptions'!$A$12:$A$15,'Assumptions'!$C$12:$C$15)</x:f>
        <x:v>110.6</x:v>
      </x:c>
      <x:c r="H311" s="28" t="n">
        <x:f>E311-G311</x:f>
        <x:v>-89.19999999999999</x:v>
      </x:c>
      <x:c r="I311" s="29" t="n">
        <x:v>0</x:v>
      </x:c>
      <x:c r="J311" s="28" t="n">
        <x:f>H311+I311</x:f>
        <x:v>-89.19999999999999</x:v>
      </x:c>
      <x:c r="K311" s="26" t="str">
        <x:v>Projection-only v1.0</x:v>
      </x:c>
      <x:c r="L311" s="26" t="n">
        <x:f>RANK.EQ(J311,$J$5:$J$619,0)</x:f>
        <x:v>281</x:v>
      </x:c>
      <x:c r="M311" s="26" t="str">
        <x:f>IF(I311=0,"PROJECTION ONLY","EDITORIAL ADJUSTMENT")</x:f>
        <x:v>PROJECTION ONLY</x:v>
      </x:c>
    </x:row>
    <x:row r="312">
      <x:c r="A312" s="26" t="str">
        <x:v>WR</x:v>
      </x:c>
      <x:c r="B312" s="26" t="n">
        <x:v>140</x:v>
      </x:c>
      <x:c r="C312" s="26" t="str">
        <x:v>Zavion Thomas</x:v>
      </x:c>
      <x:c r="D312" s="26" t="str">
        <x:v>CHI</x:v>
      </x:c>
      <x:c r="E312" s="28" t="n">
        <x:v>21</x:v>
      </x:c>
      <x:c r="F312" s="28" t="str">
        <x:v>WR|140</x:v>
      </x:c>
      <x:c r="G312" s="28" t="n">
        <x:f>XLOOKUP(A312,'Assumptions'!$A$12:$A$15,'Assumptions'!$C$12:$C$15)</x:f>
        <x:v>110.6</x:v>
      </x:c>
      <x:c r="H312" s="28" t="n">
        <x:f>E312-G312</x:f>
        <x:v>-89.6</x:v>
      </x:c>
      <x:c r="I312" s="29" t="n">
        <x:v>0</x:v>
      </x:c>
      <x:c r="J312" s="28" t="n">
        <x:f>H312+I312</x:f>
        <x:v>-89.6</x:v>
      </x:c>
      <x:c r="K312" s="26" t="str">
        <x:v>Projection-only v1.0</x:v>
      </x:c>
      <x:c r="L312" s="26" t="n">
        <x:f>RANK.EQ(J312,$J$5:$J$619,0)</x:f>
        <x:v>282</x:v>
      </x:c>
      <x:c r="M312" s="26" t="str">
        <x:f>IF(I312=0,"PROJECTION ONLY","EDITORIAL ADJUSTMENT")</x:f>
        <x:v>PROJECTION ONLY</x:v>
      </x:c>
    </x:row>
    <x:row r="313">
      <x:c r="A313" s="26" t="str">
        <x:v>WR</x:v>
      </x:c>
      <x:c r="B313" s="26" t="n">
        <x:v>141</x:v>
      </x:c>
      <x:c r="C313" s="26" t="str">
        <x:v>Jaylin Lane</x:v>
      </x:c>
      <x:c r="D313" s="26" t="str">
        <x:v>WAS</x:v>
      </x:c>
      <x:c r="E313" s="28" t="n">
        <x:v>20.5</x:v>
      </x:c>
      <x:c r="F313" s="28" t="str">
        <x:v>WR|141</x:v>
      </x:c>
      <x:c r="G313" s="28" t="n">
        <x:f>XLOOKUP(A313,'Assumptions'!$A$12:$A$15,'Assumptions'!$C$12:$C$15)</x:f>
        <x:v>110.6</x:v>
      </x:c>
      <x:c r="H313" s="28" t="n">
        <x:f>E313-G313</x:f>
        <x:v>-90.1</x:v>
      </x:c>
      <x:c r="I313" s="29" t="n">
        <x:v>0</x:v>
      </x:c>
      <x:c r="J313" s="28" t="n">
        <x:f>H313+I313</x:f>
        <x:v>-90.1</x:v>
      </x:c>
      <x:c r="K313" s="26" t="str">
        <x:v>Projection-only v1.0</x:v>
      </x:c>
      <x:c r="L313" s="26" t="n">
        <x:f>RANK.EQ(J313,$J$5:$J$619,0)</x:f>
        <x:v>283</x:v>
      </x:c>
      <x:c r="M313" s="26" t="str">
        <x:f>IF(I313=0,"PROJECTION ONLY","EDITORIAL ADJUSTMENT")</x:f>
        <x:v>PROJECTION ONLY</x:v>
      </x:c>
    </x:row>
    <x:row r="314">
      <x:c r="A314" s="26" t="str">
        <x:v>WR</x:v>
      </x:c>
      <x:c r="B314" s="26" t="n">
        <x:v>142</x:v>
      </x:c>
      <x:c r="C314" s="26" t="str">
        <x:v>Dont'e Thornton Jr.</x:v>
      </x:c>
      <x:c r="D314" s="26" t="str">
        <x:v>LV</x:v>
      </x:c>
      <x:c r="E314" s="28" t="n">
        <x:v>19.8</x:v>
      </x:c>
      <x:c r="F314" s="28" t="str">
        <x:v>WR|142</x:v>
      </x:c>
      <x:c r="G314" s="28" t="n">
        <x:f>XLOOKUP(A314,'Assumptions'!$A$12:$A$15,'Assumptions'!$C$12:$C$15)</x:f>
        <x:v>110.6</x:v>
      </x:c>
      <x:c r="H314" s="28" t="n">
        <x:f>E314-G314</x:f>
        <x:v>-90.8</x:v>
      </x:c>
      <x:c r="I314" s="29" t="n">
        <x:v>0</x:v>
      </x:c>
      <x:c r="J314" s="28" t="n">
        <x:f>H314+I314</x:f>
        <x:v>-90.8</x:v>
      </x:c>
      <x:c r="K314" s="26" t="str">
        <x:v>Projection-only v1.0</x:v>
      </x:c>
      <x:c r="L314" s="26" t="n">
        <x:f>RANK.EQ(J314,$J$5:$J$619,0)</x:f>
        <x:v>285</x:v>
      </x:c>
      <x:c r="M314" s="26" t="str">
        <x:f>IF(I314=0,"PROJECTION ONLY","EDITORIAL ADJUSTMENT")</x:f>
        <x:v>PROJECTION ONLY</x:v>
      </x:c>
    </x:row>
    <x:row r="315">
      <x:c r="A315" s="26" t="str">
        <x:v>WR</x:v>
      </x:c>
      <x:c r="B315" s="26" t="n">
        <x:v>143</x:v>
      </x:c>
      <x:c r="C315" s="26" t="str">
        <x:v>Tim Patrick</x:v>
      </x:c>
      <x:c r="D315" s="26" t="str">
        <x:v>NYJ</x:v>
      </x:c>
      <x:c r="E315" s="28" t="n">
        <x:v>18.2</x:v>
      </x:c>
      <x:c r="F315" s="28" t="str">
        <x:v>WR|143</x:v>
      </x:c>
      <x:c r="G315" s="28" t="n">
        <x:f>XLOOKUP(A315,'Assumptions'!$A$12:$A$15,'Assumptions'!$C$12:$C$15)</x:f>
        <x:v>110.6</x:v>
      </x:c>
      <x:c r="H315" s="28" t="n">
        <x:f>E315-G315</x:f>
        <x:v>-92.39999999999999</x:v>
      </x:c>
      <x:c r="I315" s="29" t="n">
        <x:v>0</x:v>
      </x:c>
      <x:c r="J315" s="28" t="n">
        <x:f>H315+I315</x:f>
        <x:v>-92.39999999999999</x:v>
      </x:c>
      <x:c r="K315" s="26" t="str">
        <x:v>Projection-only v1.0</x:v>
      </x:c>
      <x:c r="L315" s="26" t="n">
        <x:f>RANK.EQ(J315,$J$5:$J$619,0)</x:f>
        <x:v>290</x:v>
      </x:c>
      <x:c r="M315" s="26" t="str">
        <x:f>IF(I315=0,"PROJECTION ONLY","EDITORIAL ADJUSTMENT")</x:f>
        <x:v>PROJECTION ONLY</x:v>
      </x:c>
    </x:row>
    <x:row r="316">
      <x:c r="A316" s="26" t="str">
        <x:v>WR</x:v>
      </x:c>
      <x:c r="B316" s="26" t="n">
        <x:v>144</x:v>
      </x:c>
      <x:c r="C316" s="26" t="str">
        <x:v>Konata Mumpfield</x:v>
      </x:c>
      <x:c r="D316" s="26" t="str">
        <x:v>LAR</x:v>
      </x:c>
      <x:c r="E316" s="28" t="n">
        <x:v>18.8</x:v>
      </x:c>
      <x:c r="F316" s="28" t="str">
        <x:v>WR|144</x:v>
      </x:c>
      <x:c r="G316" s="28" t="n">
        <x:f>XLOOKUP(A316,'Assumptions'!$A$12:$A$15,'Assumptions'!$C$12:$C$15)</x:f>
        <x:v>110.6</x:v>
      </x:c>
      <x:c r="H316" s="28" t="n">
        <x:f>E316-G316</x:f>
        <x:v>-91.8</x:v>
      </x:c>
      <x:c r="I316" s="29" t="n">
        <x:v>0</x:v>
      </x:c>
      <x:c r="J316" s="28" t="n">
        <x:f>H316+I316</x:f>
        <x:v>-91.8</x:v>
      </x:c>
      <x:c r="K316" s="26" t="str">
        <x:v>Projection-only v1.0</x:v>
      </x:c>
      <x:c r="L316" s="26" t="n">
        <x:f>RANK.EQ(J316,$J$5:$J$619,0)</x:f>
        <x:v>287</x:v>
      </x:c>
      <x:c r="M316" s="26" t="str">
        <x:f>IF(I316=0,"PROJECTION ONLY","EDITORIAL ADJUSTMENT")</x:f>
        <x:v>PROJECTION ONLY</x:v>
      </x:c>
    </x:row>
    <x:row r="317">
      <x:c r="A317" s="26" t="str">
        <x:v>WR</x:v>
      </x:c>
      <x:c r="B317" s="26" t="n">
        <x:v>145</x:v>
      </x:c>
      <x:c r="C317" s="26" t="str">
        <x:v>Brandon Aiyuk</x:v>
      </x:c>
      <x:c r="D317" s="26" t="str">
        <x:v>SF</x:v>
      </x:c>
      <x:c r="E317" s="28" t="n">
        <x:v>17.9</x:v>
      </x:c>
      <x:c r="F317" s="28" t="str">
        <x:v>WR|145</x:v>
      </x:c>
      <x:c r="G317" s="28" t="n">
        <x:f>XLOOKUP(A317,'Assumptions'!$A$12:$A$15,'Assumptions'!$C$12:$C$15)</x:f>
        <x:v>110.6</x:v>
      </x:c>
      <x:c r="H317" s="28" t="n">
        <x:f>E317-G317</x:f>
        <x:v>-92.69999999999999</x:v>
      </x:c>
      <x:c r="I317" s="29" t="n">
        <x:v>0</x:v>
      </x:c>
      <x:c r="J317" s="28" t="n">
        <x:f>H317+I317</x:f>
        <x:v>-92.69999999999999</x:v>
      </x:c>
      <x:c r="K317" s="26" t="str">
        <x:v>Projection-only v1.0</x:v>
      </x:c>
      <x:c r="L317" s="26" t="n">
        <x:f>RANK.EQ(J317,$J$5:$J$619,0)</x:f>
        <x:v>292</x:v>
      </x:c>
      <x:c r="M317" s="26" t="str">
        <x:f>IF(I317=0,"PROJECTION ONLY","EDITORIAL ADJUSTMENT")</x:f>
        <x:v>PROJECTION ONLY</x:v>
      </x:c>
    </x:row>
    <x:row r="318">
      <x:c r="A318" s="26" t="str">
        <x:v>WR</x:v>
      </x:c>
      <x:c r="B318" s="26" t="n">
        <x:v>146</x:v>
      </x:c>
      <x:c r="C318" s="26" t="str">
        <x:v>Luke McCaffrey</x:v>
      </x:c>
      <x:c r="D318" s="26" t="str">
        <x:v>WAS</x:v>
      </x:c>
      <x:c r="E318" s="28" t="n">
        <x:v>18.3</x:v>
      </x:c>
      <x:c r="F318" s="28" t="str">
        <x:v>WR|146</x:v>
      </x:c>
      <x:c r="G318" s="28" t="n">
        <x:f>XLOOKUP(A318,'Assumptions'!$A$12:$A$15,'Assumptions'!$C$12:$C$15)</x:f>
        <x:v>110.6</x:v>
      </x:c>
      <x:c r="H318" s="28" t="n">
        <x:f>E318-G318</x:f>
        <x:v>-92.3</x:v>
      </x:c>
      <x:c r="I318" s="29" t="n">
        <x:v>0</x:v>
      </x:c>
      <x:c r="J318" s="28" t="n">
        <x:f>H318+I318</x:f>
        <x:v>-92.3</x:v>
      </x:c>
      <x:c r="K318" s="26" t="str">
        <x:v>Projection-only v1.0</x:v>
      </x:c>
      <x:c r="L318" s="26" t="n">
        <x:f>RANK.EQ(J318,$J$5:$J$619,0)</x:f>
        <x:v>289</x:v>
      </x:c>
      <x:c r="M318" s="26" t="str">
        <x:f>IF(I318=0,"PROJECTION ONLY","EDITORIAL ADJUSTMENT")</x:f>
        <x:v>PROJECTION ONLY</x:v>
      </x:c>
    </x:row>
    <x:row r="319">
      <x:c r="A319" s="26" t="str">
        <x:v>WR</x:v>
      </x:c>
      <x:c r="B319" s="26" t="n">
        <x:v>147</x:v>
      </x:c>
      <x:c r="C319" s="26" t="str">
        <x:v>Tom Kennedy</x:v>
      </x:c>
      <x:c r="D319" s="26" t="str">
        <x:v>DET</x:v>
      </x:c>
      <x:c r="E319" s="28" t="n">
        <x:v>15.8</x:v>
      </x:c>
      <x:c r="F319" s="28" t="str">
        <x:v>WR|147</x:v>
      </x:c>
      <x:c r="G319" s="28" t="n">
        <x:f>XLOOKUP(A319,'Assumptions'!$A$12:$A$15,'Assumptions'!$C$12:$C$15)</x:f>
        <x:v>110.6</x:v>
      </x:c>
      <x:c r="H319" s="28" t="n">
        <x:f>E319-G319</x:f>
        <x:v>-94.8</x:v>
      </x:c>
      <x:c r="I319" s="29" t="n">
        <x:v>0</x:v>
      </x:c>
      <x:c r="J319" s="28" t="n">
        <x:f>H319+I319</x:f>
        <x:v>-94.8</x:v>
      </x:c>
      <x:c r="K319" s="26" t="str">
        <x:v>Projection-only v1.0</x:v>
      </x:c>
      <x:c r="L319" s="26" t="n">
        <x:f>RANK.EQ(J319,$J$5:$J$619,0)</x:f>
        <x:v>299</x:v>
      </x:c>
      <x:c r="M319" s="26" t="str">
        <x:f>IF(I319=0,"PROJECTION ONLY","EDITORIAL ADJUSTMENT")</x:f>
        <x:v>PROJECTION ONLY</x:v>
      </x:c>
    </x:row>
    <x:row r="320">
      <x:c r="A320" s="26" t="str">
        <x:v>WR</x:v>
      </x:c>
      <x:c r="B320" s="26" t="n">
        <x:v>148</x:v>
      </x:c>
      <x:c r="C320" s="26" t="str">
        <x:v>Jalen Royals</x:v>
      </x:c>
      <x:c r="D320" s="26" t="str">
        <x:v>KC</x:v>
      </x:c>
      <x:c r="E320" s="28" t="n">
        <x:v>16.7</x:v>
      </x:c>
      <x:c r="F320" s="28" t="str">
        <x:v>WR|148</x:v>
      </x:c>
      <x:c r="G320" s="28" t="n">
        <x:f>XLOOKUP(A320,'Assumptions'!$A$12:$A$15,'Assumptions'!$C$12:$C$15)</x:f>
        <x:v>110.6</x:v>
      </x:c>
      <x:c r="H320" s="28" t="n">
        <x:f>E320-G320</x:f>
        <x:v>-93.89999999999999</x:v>
      </x:c>
      <x:c r="I320" s="29" t="n">
        <x:v>0</x:v>
      </x:c>
      <x:c r="J320" s="28" t="n">
        <x:f>H320+I320</x:f>
        <x:v>-93.89999999999999</x:v>
      </x:c>
      <x:c r="K320" s="26" t="str">
        <x:v>Projection-only v1.0</x:v>
      </x:c>
      <x:c r="L320" s="26" t="n">
        <x:f>RANK.EQ(J320,$J$5:$J$619,0)</x:f>
        <x:v>296</x:v>
      </x:c>
      <x:c r="M320" s="26" t="str">
        <x:f>IF(I320=0,"PROJECTION ONLY","EDITORIAL ADJUSTMENT")</x:f>
        <x:v>PROJECTION ONLY</x:v>
      </x:c>
    </x:row>
    <x:row r="321">
      <x:c r="A321" s="26" t="str">
        <x:v>WR</x:v>
      </x:c>
      <x:c r="B321" s="26" t="n">
        <x:v>149</x:v>
      </x:c>
      <x:c r="C321" s="26" t="str">
        <x:v>Deion Burks</x:v>
      </x:c>
      <x:c r="D321" s="26" t="str">
        <x:v>IND</x:v>
      </x:c>
      <x:c r="E321" s="28" t="n">
        <x:v>15.8</x:v>
      </x:c>
      <x:c r="F321" s="28" t="str">
        <x:v>WR|149</x:v>
      </x:c>
      <x:c r="G321" s="28" t="n">
        <x:f>XLOOKUP(A321,'Assumptions'!$A$12:$A$15,'Assumptions'!$C$12:$C$15)</x:f>
        <x:v>110.6</x:v>
      </x:c>
      <x:c r="H321" s="28" t="n">
        <x:f>E321-G321</x:f>
        <x:v>-94.8</x:v>
      </x:c>
      <x:c r="I321" s="29" t="n">
        <x:v>0</x:v>
      </x:c>
      <x:c r="J321" s="28" t="n">
        <x:f>H321+I321</x:f>
        <x:v>-94.8</x:v>
      </x:c>
      <x:c r="K321" s="26" t="str">
        <x:v>Projection-only v1.0</x:v>
      </x:c>
      <x:c r="L321" s="26" t="n">
        <x:f>RANK.EQ(J321,$J$5:$J$619,0)</x:f>
        <x:v>299</x:v>
      </x:c>
      <x:c r="M321" s="26" t="str">
        <x:f>IF(I321=0,"PROJECTION ONLY","EDITORIAL ADJUSTMENT")</x:f>
        <x:v>PROJECTION ONLY</x:v>
      </x:c>
    </x:row>
    <x:row r="322">
      <x:c r="A322" s="26" t="str">
        <x:v>WR</x:v>
      </x:c>
      <x:c r="B322" s="26" t="n">
        <x:v>150</x:v>
      </x:c>
      <x:c r="C322" s="26" t="str">
        <x:v>Eric Rivers Jr.</x:v>
      </x:c>
      <x:c r="D322" s="26" t="str">
        <x:v>TB</x:v>
      </x:c>
      <x:c r="E322" s="28" t="n">
        <x:v>15.8</x:v>
      </x:c>
      <x:c r="F322" s="28" t="str">
        <x:v>WR|150</x:v>
      </x:c>
      <x:c r="G322" s="28" t="n">
        <x:f>XLOOKUP(A322,'Assumptions'!$A$12:$A$15,'Assumptions'!$C$12:$C$15)</x:f>
        <x:v>110.6</x:v>
      </x:c>
      <x:c r="H322" s="28" t="n">
        <x:f>E322-G322</x:f>
        <x:v>-94.8</x:v>
      </x:c>
      <x:c r="I322" s="29" t="n">
        <x:v>0</x:v>
      </x:c>
      <x:c r="J322" s="28" t="n">
        <x:f>H322+I322</x:f>
        <x:v>-94.8</x:v>
      </x:c>
      <x:c r="K322" s="26" t="str">
        <x:v>Projection-only v1.0</x:v>
      </x:c>
      <x:c r="L322" s="26" t="n">
        <x:f>RANK.EQ(J322,$J$5:$J$619,0)</x:f>
        <x:v>299</x:v>
      </x:c>
      <x:c r="M322" s="26" t="str">
        <x:f>IF(I322=0,"PROJECTION ONLY","EDITORIAL ADJUSTMENT")</x:f>
        <x:v>PROJECTION ONLY</x:v>
      </x:c>
    </x:row>
    <x:row r="323">
      <x:c r="A323" s="26" t="str">
        <x:v>WR</x:v>
      </x:c>
      <x:c r="B323" s="26" t="n">
        <x:v>151</x:v>
      </x:c>
      <x:c r="C323" s="26" t="str">
        <x:v>Mitch Tinsley</x:v>
      </x:c>
      <x:c r="D323" s="26" t="str">
        <x:v>CIN</x:v>
      </x:c>
      <x:c r="E323" s="28" t="n">
        <x:v>15.3</x:v>
      </x:c>
      <x:c r="F323" s="28" t="str">
        <x:v>WR|151</x:v>
      </x:c>
      <x:c r="G323" s="28" t="n">
        <x:f>XLOOKUP(A323,'Assumptions'!$A$12:$A$15,'Assumptions'!$C$12:$C$15)</x:f>
        <x:v>110.6</x:v>
      </x:c>
      <x:c r="H323" s="28" t="n">
        <x:f>E323-G323</x:f>
        <x:v>-95.3</x:v>
      </x:c>
      <x:c r="I323" s="29" t="n">
        <x:v>0</x:v>
      </x:c>
      <x:c r="J323" s="28" t="n">
        <x:f>H323+I323</x:f>
        <x:v>-95.3</x:v>
      </x:c>
      <x:c r="K323" s="26" t="str">
        <x:v>Projection-only v1.0</x:v>
      </x:c>
      <x:c r="L323" s="26" t="n">
        <x:f>RANK.EQ(J323,$J$5:$J$619,0)</x:f>
        <x:v>304</x:v>
      </x:c>
      <x:c r="M323" s="26" t="str">
        <x:f>IF(I323=0,"PROJECTION ONLY","EDITORIAL ADJUSTMENT")</x:f>
        <x:v>PROJECTION ONLY</x:v>
      </x:c>
    </x:row>
    <x:row r="324">
      <x:c r="A324" s="26" t="str">
        <x:v>WR</x:v>
      </x:c>
      <x:c r="B324" s="26" t="n">
        <x:v>152</x:v>
      </x:c>
      <x:c r="C324" s="26" t="str">
        <x:v>Isaiah Bond</x:v>
      </x:c>
      <x:c r="D324" s="26" t="str">
        <x:v>CLE</x:v>
      </x:c>
      <x:c r="E324" s="28" t="n">
        <x:v>15.6</x:v>
      </x:c>
      <x:c r="F324" s="28" t="str">
        <x:v>WR|152</x:v>
      </x:c>
      <x:c r="G324" s="28" t="n">
        <x:f>XLOOKUP(A324,'Assumptions'!$A$12:$A$15,'Assumptions'!$C$12:$C$15)</x:f>
        <x:v>110.6</x:v>
      </x:c>
      <x:c r="H324" s="28" t="n">
        <x:f>E324-G324</x:f>
        <x:v>-95</x:v>
      </x:c>
      <x:c r="I324" s="29" t="n">
        <x:v>0</x:v>
      </x:c>
      <x:c r="J324" s="28" t="n">
        <x:f>H324+I324</x:f>
        <x:v>-95</x:v>
      </x:c>
      <x:c r="K324" s="26" t="str">
        <x:v>Projection-only v1.0</x:v>
      </x:c>
      <x:c r="L324" s="26" t="n">
        <x:f>RANK.EQ(J324,$J$5:$J$619,0)</x:f>
        <x:v>302</x:v>
      </x:c>
      <x:c r="M324" s="26" t="str">
        <x:f>IF(I324=0,"PROJECTION ONLY","EDITORIAL ADJUSTMENT")</x:f>
        <x:v>PROJECTION ONLY</x:v>
      </x:c>
    </x:row>
    <x:row r="325">
      <x:c r="A325" s="26" t="str">
        <x:v>WR</x:v>
      </x:c>
      <x:c r="B325" s="26" t="n">
        <x:v>153</x:v>
      </x:c>
      <x:c r="C325" s="26" t="str">
        <x:v>David Sills V</x:v>
      </x:c>
      <x:c r="D325" s="26" t="str">
        <x:v>TB</x:v>
      </x:c>
      <x:c r="E325" s="28" t="n">
        <x:v>14.5</x:v>
      </x:c>
      <x:c r="F325" s="28" t="str">
        <x:v>WR|153</x:v>
      </x:c>
      <x:c r="G325" s="28" t="n">
        <x:f>XLOOKUP(A325,'Assumptions'!$A$12:$A$15,'Assumptions'!$C$12:$C$15)</x:f>
        <x:v>110.6</x:v>
      </x:c>
      <x:c r="H325" s="28" t="n">
        <x:f>E325-G325</x:f>
        <x:v>-96.1</x:v>
      </x:c>
      <x:c r="I325" s="29" t="n">
        <x:v>0</x:v>
      </x:c>
      <x:c r="J325" s="28" t="n">
        <x:f>H325+I325</x:f>
        <x:v>-96.1</x:v>
      </x:c>
      <x:c r="K325" s="26" t="str">
        <x:v>Projection-only v1.0</x:v>
      </x:c>
      <x:c r="L325" s="26" t="n">
        <x:f>RANK.EQ(J325,$J$5:$J$619,0)</x:f>
        <x:v>306</x:v>
      </x:c>
      <x:c r="M325" s="26" t="str">
        <x:f>IF(I325=0,"PROJECTION ONLY","EDITORIAL ADJUSTMENT")</x:f>
        <x:v>PROJECTION ONLY</x:v>
      </x:c>
    </x:row>
    <x:row r="326">
      <x:c r="A326" s="26" t="str">
        <x:v>WR</x:v>
      </x:c>
      <x:c r="B326" s="26" t="n">
        <x:v>154</x:v>
      </x:c>
      <x:c r="C326" s="26" t="str">
        <x:v>JP Richardson</x:v>
      </x:c>
      <x:c r="D326" s="26" t="str">
        <x:v>CHI</x:v>
      </x:c>
      <x:c r="E326" s="28" t="n">
        <x:v>13.7</x:v>
      </x:c>
      <x:c r="F326" s="28" t="str">
        <x:v>WR|154</x:v>
      </x:c>
      <x:c r="G326" s="28" t="n">
        <x:f>XLOOKUP(A326,'Assumptions'!$A$12:$A$15,'Assumptions'!$C$12:$C$15)</x:f>
        <x:v>110.6</x:v>
      </x:c>
      <x:c r="H326" s="28" t="n">
        <x:f>E326-G326</x:f>
        <x:v>-96.89999999999999</x:v>
      </x:c>
      <x:c r="I326" s="29" t="n">
        <x:v>0</x:v>
      </x:c>
      <x:c r="J326" s="28" t="n">
        <x:f>H326+I326</x:f>
        <x:v>-96.89999999999999</x:v>
      </x:c>
      <x:c r="K326" s="26" t="str">
        <x:v>Projection-only v1.0</x:v>
      </x:c>
      <x:c r="L326" s="26" t="n">
        <x:f>RANK.EQ(J326,$J$5:$J$619,0)</x:f>
        <x:v>310</x:v>
      </x:c>
      <x:c r="M326" s="26" t="str">
        <x:f>IF(I326=0,"PROJECTION ONLY","EDITORIAL ADJUSTMENT")</x:f>
        <x:v>PROJECTION ONLY</x:v>
      </x:c>
    </x:row>
    <x:row r="327">
      <x:c r="A327" s="26" t="str">
        <x:v>WR</x:v>
      </x:c>
      <x:c r="B327" s="26" t="n">
        <x:v>155</x:v>
      </x:c>
      <x:c r="C327" s="26" t="str">
        <x:v>Keandre Lambert-Smith</x:v>
      </x:c>
      <x:c r="D327" s="26" t="str">
        <x:v>LAC</x:v>
      </x:c>
      <x:c r="E327" s="28" t="n">
        <x:v>13.9</x:v>
      </x:c>
      <x:c r="F327" s="28" t="str">
        <x:v>WR|155</x:v>
      </x:c>
      <x:c r="G327" s="28" t="n">
        <x:f>XLOOKUP(A327,'Assumptions'!$A$12:$A$15,'Assumptions'!$C$12:$C$15)</x:f>
        <x:v>110.6</x:v>
      </x:c>
      <x:c r="H327" s="28" t="n">
        <x:f>E327-G327</x:f>
        <x:v>-96.69999999999999</x:v>
      </x:c>
      <x:c r="I327" s="29" t="n">
        <x:v>0</x:v>
      </x:c>
      <x:c r="J327" s="28" t="n">
        <x:f>H327+I327</x:f>
        <x:v>-96.69999999999999</x:v>
      </x:c>
      <x:c r="K327" s="26" t="str">
        <x:v>Projection-only v1.0</x:v>
      </x:c>
      <x:c r="L327" s="26" t="n">
        <x:f>RANK.EQ(J327,$J$5:$J$619,0)</x:f>
        <x:v>308</x:v>
      </x:c>
      <x:c r="M327" s="26" t="str">
        <x:f>IF(I327=0,"PROJECTION ONLY","EDITORIAL ADJUSTMENT")</x:f>
        <x:v>PROJECTION ONLY</x:v>
      </x:c>
    </x:row>
    <x:row r="328">
      <x:c r="A328" s="26" t="str">
        <x:v>WR</x:v>
      </x:c>
      <x:c r="B328" s="26" t="n">
        <x:v>156</x:v>
      </x:c>
      <x:c r="C328" s="26" t="str">
        <x:v>Marquez Valdes-Scantling</x:v>
      </x:c>
      <x:c r="D328" s="26" t="str">
        <x:v>DAL</x:v>
      </x:c>
      <x:c r="E328" s="28" t="n">
        <x:v>14.3</x:v>
      </x:c>
      <x:c r="F328" s="28" t="str">
        <x:v>WR|156</x:v>
      </x:c>
      <x:c r="G328" s="28" t="n">
        <x:f>XLOOKUP(A328,'Assumptions'!$A$12:$A$15,'Assumptions'!$C$12:$C$15)</x:f>
        <x:v>110.6</x:v>
      </x:c>
      <x:c r="H328" s="28" t="n">
        <x:f>E328-G328</x:f>
        <x:v>-96.3</x:v>
      </x:c>
      <x:c r="I328" s="29" t="n">
        <x:v>0</x:v>
      </x:c>
      <x:c r="J328" s="28" t="n">
        <x:f>H328+I328</x:f>
        <x:v>-96.3</x:v>
      </x:c>
      <x:c r="K328" s="26" t="str">
        <x:v>Projection-only v1.0</x:v>
      </x:c>
      <x:c r="L328" s="26" t="n">
        <x:f>RANK.EQ(J328,$J$5:$J$619,0)</x:f>
        <x:v>307</x:v>
      </x:c>
      <x:c r="M328" s="26" t="str">
        <x:f>IF(I328=0,"PROJECTION ONLY","EDITORIAL ADJUSTMENT")</x:f>
        <x:v>PROJECTION ONLY</x:v>
      </x:c>
    </x:row>
    <x:row r="329">
      <x:c r="A329" s="26" t="str">
        <x:v>WR</x:v>
      </x:c>
      <x:c r="B329" s="26" t="n">
        <x:v>157</x:v>
      </x:c>
      <x:c r="C329" s="26" t="str">
        <x:v>Xavier Weaver</x:v>
      </x:c>
      <x:c r="D329" s="26" t="str">
        <x:v>ARI</x:v>
      </x:c>
      <x:c r="E329" s="28" t="n">
        <x:v>13.2</x:v>
      </x:c>
      <x:c r="F329" s="28" t="str">
        <x:v>WR|157</x:v>
      </x:c>
      <x:c r="G329" s="28" t="n">
        <x:f>XLOOKUP(A329,'Assumptions'!$A$12:$A$15,'Assumptions'!$C$12:$C$15)</x:f>
        <x:v>110.6</x:v>
      </x:c>
      <x:c r="H329" s="28" t="n">
        <x:f>E329-G329</x:f>
        <x:v>-97.39999999999999</x:v>
      </x:c>
      <x:c r="I329" s="29" t="n">
        <x:v>0</x:v>
      </x:c>
      <x:c r="J329" s="28" t="n">
        <x:f>H329+I329</x:f>
        <x:v>-97.39999999999999</x:v>
      </x:c>
      <x:c r="K329" s="26" t="str">
        <x:v>Projection-only v1.0</x:v>
      </x:c>
      <x:c r="L329" s="26" t="n">
        <x:f>RANK.EQ(J329,$J$5:$J$619,0)</x:f>
        <x:v>314</x:v>
      </x:c>
      <x:c r="M329" s="26" t="str">
        <x:f>IF(I329=0,"PROJECTION ONLY","EDITORIAL ADJUSTMENT")</x:f>
        <x:v>PROJECTION ONLY</x:v>
      </x:c>
    </x:row>
    <x:row r="330">
      <x:c r="A330" s="26" t="str">
        <x:v>WR</x:v>
      </x:c>
      <x:c r="B330" s="26" t="n">
        <x:v>158</x:v>
      </x:c>
      <x:c r="C330" s="26" t="str">
        <x:v>Tez Johnson</x:v>
      </x:c>
      <x:c r="D330" s="26" t="str">
        <x:v>TB</x:v>
      </x:c>
      <x:c r="E330" s="28" t="n">
        <x:v>13</x:v>
      </x:c>
      <x:c r="F330" s="28" t="str">
        <x:v>WR|158</x:v>
      </x:c>
      <x:c r="G330" s="28" t="n">
        <x:f>XLOOKUP(A330,'Assumptions'!$A$12:$A$15,'Assumptions'!$C$12:$C$15)</x:f>
        <x:v>110.6</x:v>
      </x:c>
      <x:c r="H330" s="28" t="n">
        <x:f>E330-G330</x:f>
        <x:v>-97.6</x:v>
      </x:c>
      <x:c r="I330" s="29" t="n">
        <x:v>0</x:v>
      </x:c>
      <x:c r="J330" s="28" t="n">
        <x:f>H330+I330</x:f>
        <x:v>-97.6</x:v>
      </x:c>
      <x:c r="K330" s="26" t="str">
        <x:v>Projection-only v1.0</x:v>
      </x:c>
      <x:c r="L330" s="26" t="n">
        <x:f>RANK.EQ(J330,$J$5:$J$619,0)</x:f>
        <x:v>315</x:v>
      </x:c>
      <x:c r="M330" s="26" t="str">
        <x:f>IF(I330=0,"PROJECTION ONLY","EDITORIAL ADJUSTMENT")</x:f>
        <x:v>PROJECTION ONLY</x:v>
      </x:c>
    </x:row>
    <x:row r="331">
      <x:c r="A331" s="26" t="str">
        <x:v>WR</x:v>
      </x:c>
      <x:c r="B331" s="26" t="n">
        <x:v>159</x:v>
      </x:c>
      <x:c r="C331" s="26" t="str">
        <x:v>Kevin Austin Jr.</x:v>
      </x:c>
      <x:c r="D331" s="26" t="str">
        <x:v>NO</x:v>
      </x:c>
      <x:c r="E331" s="28" t="n">
        <x:v>11.8</x:v>
      </x:c>
      <x:c r="F331" s="28" t="str">
        <x:v>WR|159</x:v>
      </x:c>
      <x:c r="G331" s="28" t="n">
        <x:f>XLOOKUP(A331,'Assumptions'!$A$12:$A$15,'Assumptions'!$C$12:$C$15)</x:f>
        <x:v>110.6</x:v>
      </x:c>
      <x:c r="H331" s="28" t="n">
        <x:f>E331-G331</x:f>
        <x:v>-98.8</x:v>
      </x:c>
      <x:c r="I331" s="29" t="n">
        <x:v>0</x:v>
      </x:c>
      <x:c r="J331" s="28" t="n">
        <x:f>H331+I331</x:f>
        <x:v>-98.8</x:v>
      </x:c>
      <x:c r="K331" s="26" t="str">
        <x:v>Projection-only v1.0</x:v>
      </x:c>
      <x:c r="L331" s="26" t="n">
        <x:f>RANK.EQ(J331,$J$5:$J$619,0)</x:f>
        <x:v>318</x:v>
      </x:c>
      <x:c r="M331" s="26" t="str">
        <x:f>IF(I331=0,"PROJECTION ONLY","EDITORIAL ADJUSTMENT")</x:f>
        <x:v>PROJECTION ONLY</x:v>
      </x:c>
    </x:row>
    <x:row r="332">
      <x:c r="A332" s="26" t="str">
        <x:v>WR</x:v>
      </x:c>
      <x:c r="B332" s="26" t="n">
        <x:v>160</x:v>
      </x:c>
      <x:c r="C332" s="26" t="str">
        <x:v>Lil'Jordan Humphrey</x:v>
      </x:c>
      <x:c r="D332" s="26" t="str">
        <x:v>DEN</x:v>
      </x:c>
      <x:c r="E332" s="28" t="n">
        <x:v>10.2</x:v>
      </x:c>
      <x:c r="F332" s="28" t="str">
        <x:v>WR|160</x:v>
      </x:c>
      <x:c r="G332" s="28" t="n">
        <x:f>XLOOKUP(A332,'Assumptions'!$A$12:$A$15,'Assumptions'!$C$12:$C$15)</x:f>
        <x:v>110.6</x:v>
      </x:c>
      <x:c r="H332" s="28" t="n">
        <x:f>E332-G332</x:f>
        <x:v>-100.39999999999999</x:v>
      </x:c>
      <x:c r="I332" s="29" t="n">
        <x:v>0</x:v>
      </x:c>
      <x:c r="J332" s="28" t="n">
        <x:f>H332+I332</x:f>
        <x:v>-100.39999999999999</x:v>
      </x:c>
      <x:c r="K332" s="26" t="str">
        <x:v>Projection-only v1.0</x:v>
      </x:c>
      <x:c r="L332" s="26" t="n">
        <x:f>RANK.EQ(J332,$J$5:$J$619,0)</x:f>
        <x:v>323</x:v>
      </x:c>
      <x:c r="M332" s="26" t="str">
        <x:f>IF(I332=0,"PROJECTION ONLY","EDITORIAL ADJUSTMENT")</x:f>
        <x:v>PROJECTION ONLY</x:v>
      </x:c>
    </x:row>
    <x:row r="333">
      <x:c r="A333" s="26" t="str">
        <x:v>WR</x:v>
      </x:c>
      <x:c r="B333" s="26" t="n">
        <x:v>161</x:v>
      </x:c>
      <x:c r="C333" s="26" t="str">
        <x:v>Xavier Smith</x:v>
      </x:c>
      <x:c r="D333" s="26" t="str">
        <x:v>LAR</x:v>
      </x:c>
      <x:c r="E333" s="28" t="n">
        <x:v>9.8</x:v>
      </x:c>
      <x:c r="F333" s="28" t="str">
        <x:v>WR|161</x:v>
      </x:c>
      <x:c r="G333" s="28" t="n">
        <x:f>XLOOKUP(A333,'Assumptions'!$A$12:$A$15,'Assumptions'!$C$12:$C$15)</x:f>
        <x:v>110.6</x:v>
      </x:c>
      <x:c r="H333" s="28" t="n">
        <x:f>E333-G333</x:f>
        <x:v>-100.8</x:v>
      </x:c>
      <x:c r="I333" s="29" t="n">
        <x:v>0</x:v>
      </x:c>
      <x:c r="J333" s="28" t="n">
        <x:f>H333+I333</x:f>
        <x:v>-100.8</x:v>
      </x:c>
      <x:c r="K333" s="26" t="str">
        <x:v>Projection-only v1.0</x:v>
      </x:c>
      <x:c r="L333" s="26" t="n">
        <x:f>RANK.EQ(J333,$J$5:$J$619,0)</x:f>
        <x:v>327</x:v>
      </x:c>
      <x:c r="M333" s="26" t="str">
        <x:f>IF(I333=0,"PROJECTION ONLY","EDITORIAL ADJUSTMENT")</x:f>
        <x:v>PROJECTION ONLY</x:v>
      </x:c>
    </x:row>
    <x:row r="334">
      <x:c r="A334" s="26" t="str">
        <x:v>WR</x:v>
      </x:c>
      <x:c r="B334" s="26" t="n">
        <x:v>162</x:v>
      </x:c>
      <x:c r="C334" s="26" t="str">
        <x:v>Ben Skowronek</x:v>
      </x:c>
      <x:c r="D334" s="26" t="str">
        <x:v>PIT</x:v>
      </x:c>
      <x:c r="E334" s="28" t="n">
        <x:v>9.3</x:v>
      </x:c>
      <x:c r="F334" s="28" t="str">
        <x:v>WR|162</x:v>
      </x:c>
      <x:c r="G334" s="28" t="n">
        <x:f>XLOOKUP(A334,'Assumptions'!$A$12:$A$15,'Assumptions'!$C$12:$C$15)</x:f>
        <x:v>110.6</x:v>
      </x:c>
      <x:c r="H334" s="28" t="n">
        <x:f>E334-G334</x:f>
        <x:v>-101.3</x:v>
      </x:c>
      <x:c r="I334" s="29" t="n">
        <x:v>0</x:v>
      </x:c>
      <x:c r="J334" s="28" t="n">
        <x:f>H334+I334</x:f>
        <x:v>-101.3</x:v>
      </x:c>
      <x:c r="K334" s="26" t="str">
        <x:v>Projection-only v1.0</x:v>
      </x:c>
      <x:c r="L334" s="26" t="n">
        <x:f>RANK.EQ(J334,$J$5:$J$619,0)</x:f>
        <x:v>331</x:v>
      </x:c>
      <x:c r="M334" s="26" t="str">
        <x:f>IF(I334=0,"PROJECTION ONLY","EDITORIAL ADJUSTMENT")</x:f>
        <x:v>PROJECTION ONLY</x:v>
      </x:c>
    </x:row>
    <x:row r="335">
      <x:c r="A335" s="26" t="str">
        <x:v>WR</x:v>
      </x:c>
      <x:c r="B335" s="26" t="n">
        <x:v>163</x:v>
      </x:c>
      <x:c r="C335" s="26" t="str">
        <x:v>Greg Dortch</x:v>
      </x:c>
      <x:c r="D335" s="26" t="str">
        <x:v>DET</x:v>
      </x:c>
      <x:c r="E335" s="28" t="n">
        <x:v>10</x:v>
      </x:c>
      <x:c r="F335" s="28" t="str">
        <x:v>WR|163</x:v>
      </x:c>
      <x:c r="G335" s="28" t="n">
        <x:f>XLOOKUP(A335,'Assumptions'!$A$12:$A$15,'Assumptions'!$C$12:$C$15)</x:f>
        <x:v>110.6</x:v>
      </x:c>
      <x:c r="H335" s="28" t="n">
        <x:f>E335-G335</x:f>
        <x:v>-100.6</x:v>
      </x:c>
      <x:c r="I335" s="29" t="n">
        <x:v>0</x:v>
      </x:c>
      <x:c r="J335" s="28" t="n">
        <x:f>H335+I335</x:f>
        <x:v>-100.6</x:v>
      </x:c>
      <x:c r="K335" s="26" t="str">
        <x:v>Projection-only v1.0</x:v>
      </x:c>
      <x:c r="L335" s="26" t="n">
        <x:f>RANK.EQ(J335,$J$5:$J$619,0)</x:f>
        <x:v>326</x:v>
      </x:c>
      <x:c r="M335" s="26" t="str">
        <x:f>IF(I335=0,"PROJECTION ONLY","EDITORIAL ADJUSTMENT")</x:f>
        <x:v>PROJECTION ONLY</x:v>
      </x:c>
    </x:row>
    <x:row r="336">
      <x:c r="A336" s="26" t="str">
        <x:v>WR</x:v>
      </x:c>
      <x:c r="B336" s="26" t="n">
        <x:v>164</x:v>
      </x:c>
      <x:c r="C336" s="26" t="str">
        <x:v>Bo Melton</x:v>
      </x:c>
      <x:c r="D336" s="26" t="str">
        <x:v>GB</x:v>
      </x:c>
      <x:c r="E336" s="28" t="n">
        <x:v>8.5</x:v>
      </x:c>
      <x:c r="F336" s="28" t="str">
        <x:v>WR|164</x:v>
      </x:c>
      <x:c r="G336" s="28" t="n">
        <x:f>XLOOKUP(A336,'Assumptions'!$A$12:$A$15,'Assumptions'!$C$12:$C$15)</x:f>
        <x:v>110.6</x:v>
      </x:c>
      <x:c r="H336" s="28" t="n">
        <x:f>E336-G336</x:f>
        <x:v>-102.1</x:v>
      </x:c>
      <x:c r="I336" s="29" t="n">
        <x:v>0</x:v>
      </x:c>
      <x:c r="J336" s="28" t="n">
        <x:f>H336+I336</x:f>
        <x:v>-102.1</x:v>
      </x:c>
      <x:c r="K336" s="26" t="str">
        <x:v>Projection-only v1.0</x:v>
      </x:c>
      <x:c r="L336" s="26" t="n">
        <x:f>RANK.EQ(J336,$J$5:$J$619,0)</x:f>
        <x:v>335</x:v>
      </x:c>
      <x:c r="M336" s="26" t="str">
        <x:f>IF(I336=0,"PROJECTION ONLY","EDITORIAL ADJUSTMENT")</x:f>
        <x:v>PROJECTION ONLY</x:v>
      </x:c>
    </x:row>
    <x:row r="337">
      <x:c r="A337" s="26" t="str">
        <x:v>WR</x:v>
      </x:c>
      <x:c r="B337" s="26" t="n">
        <x:v>165</x:v>
      </x:c>
      <x:c r="C337" s="26" t="str">
        <x:v>Colbie Young</x:v>
      </x:c>
      <x:c r="D337" s="26" t="str">
        <x:v>CIN</x:v>
      </x:c>
      <x:c r="E337" s="28" t="n">
        <x:v>7.9</x:v>
      </x:c>
      <x:c r="F337" s="28" t="str">
        <x:v>WR|165</x:v>
      </x:c>
      <x:c r="G337" s="28" t="n">
        <x:f>XLOOKUP(A337,'Assumptions'!$A$12:$A$15,'Assumptions'!$C$12:$C$15)</x:f>
        <x:v>110.6</x:v>
      </x:c>
      <x:c r="H337" s="28" t="n">
        <x:f>E337-G337</x:f>
        <x:v>-102.69999999999999</x:v>
      </x:c>
      <x:c r="I337" s="29" t="n">
        <x:v>0</x:v>
      </x:c>
      <x:c r="J337" s="28" t="n">
        <x:f>H337+I337</x:f>
        <x:v>-102.69999999999999</x:v>
      </x:c>
      <x:c r="K337" s="26" t="str">
        <x:v>Projection-only v1.0</x:v>
      </x:c>
      <x:c r="L337" s="26" t="n">
        <x:f>RANK.EQ(J337,$J$5:$J$619,0)</x:f>
        <x:v>339</x:v>
      </x:c>
      <x:c r="M337" s="26" t="str">
        <x:f>IF(I337=0,"PROJECTION ONLY","EDITORIAL ADJUSTMENT")</x:f>
        <x:v>PROJECTION ONLY</x:v>
      </x:c>
    </x:row>
    <x:row r="338">
      <x:c r="A338" s="26" t="str">
        <x:v>WR</x:v>
      </x:c>
      <x:c r="B338" s="26" t="n">
        <x:v>166</x:v>
      </x:c>
      <x:c r="C338" s="26" t="str">
        <x:v>Reggie Virgil</x:v>
      </x:c>
      <x:c r="D338" s="26" t="str">
        <x:v>ARI</x:v>
      </x:c>
      <x:c r="E338" s="28" t="n">
        <x:v>7.4</x:v>
      </x:c>
      <x:c r="F338" s="28" t="str">
        <x:v>WR|166</x:v>
      </x:c>
      <x:c r="G338" s="28" t="n">
        <x:f>XLOOKUP(A338,'Assumptions'!$A$12:$A$15,'Assumptions'!$C$12:$C$15)</x:f>
        <x:v>110.6</x:v>
      </x:c>
      <x:c r="H338" s="28" t="n">
        <x:f>E338-G338</x:f>
        <x:v>-103.19999999999999</x:v>
      </x:c>
      <x:c r="I338" s="29" t="n">
        <x:v>0</x:v>
      </x:c>
      <x:c r="J338" s="28" t="n">
        <x:f>H338+I338</x:f>
        <x:v>-103.19999999999999</x:v>
      </x:c>
      <x:c r="K338" s="26" t="str">
        <x:v>Projection-only v1.0</x:v>
      </x:c>
      <x:c r="L338" s="26" t="n">
        <x:f>RANK.EQ(J338,$J$5:$J$619,0)</x:f>
        <x:v>342</x:v>
      </x:c>
      <x:c r="M338" s="26" t="str">
        <x:f>IF(I338=0,"PROJECTION ONLY","EDITORIAL ADJUSTMENT")</x:f>
        <x:v>PROJECTION ONLY</x:v>
      </x:c>
    </x:row>
    <x:row r="339">
      <x:c r="A339" s="26" t="str">
        <x:v>WR</x:v>
      </x:c>
      <x:c r="B339" s="26" t="n">
        <x:v>167</x:v>
      </x:c>
      <x:c r="C339" s="26" t="str">
        <x:v>Brycen Tremayne</x:v>
      </x:c>
      <x:c r="D339" s="26" t="str">
        <x:v>CAR</x:v>
      </x:c>
      <x:c r="E339" s="28" t="n">
        <x:v>7</x:v>
      </x:c>
      <x:c r="F339" s="28" t="str">
        <x:v>WR|167</x:v>
      </x:c>
      <x:c r="G339" s="28" t="n">
        <x:f>XLOOKUP(A339,'Assumptions'!$A$12:$A$15,'Assumptions'!$C$12:$C$15)</x:f>
        <x:v>110.6</x:v>
      </x:c>
      <x:c r="H339" s="28" t="n">
        <x:f>E339-G339</x:f>
        <x:v>-103.6</x:v>
      </x:c>
      <x:c r="I339" s="29" t="n">
        <x:v>0</x:v>
      </x:c>
      <x:c r="J339" s="28" t="n">
        <x:f>H339+I339</x:f>
        <x:v>-103.6</x:v>
      </x:c>
      <x:c r="K339" s="26" t="str">
        <x:v>Projection-only v1.0</x:v>
      </x:c>
      <x:c r="L339" s="26" t="n">
        <x:f>RANK.EQ(J339,$J$5:$J$619,0)</x:f>
        <x:v>348</x:v>
      </x:c>
      <x:c r="M339" s="26" t="str">
        <x:f>IF(I339=0,"PROJECTION ONLY","EDITORIAL ADJUSTMENT")</x:f>
        <x:v>PROJECTION ONLY</x:v>
      </x:c>
    </x:row>
    <x:row r="340">
      <x:c r="A340" s="26" t="str">
        <x:v>WR</x:v>
      </x:c>
      <x:c r="B340" s="26" t="n">
        <x:v>168</x:v>
      </x:c>
      <x:c r="C340" s="26" t="str">
        <x:v>Elijah Moore</x:v>
      </x:c>
      <x:c r="D340" s="26" t="str">
        <x:v>PHI</x:v>
      </x:c>
      <x:c r="E340" s="28" t="n">
        <x:v>6.7</x:v>
      </x:c>
      <x:c r="F340" s="28" t="str">
        <x:v>WR|168</x:v>
      </x:c>
      <x:c r="G340" s="28" t="n">
        <x:f>XLOOKUP(A340,'Assumptions'!$A$12:$A$15,'Assumptions'!$C$12:$C$15)</x:f>
        <x:v>110.6</x:v>
      </x:c>
      <x:c r="H340" s="28" t="n">
        <x:f>E340-G340</x:f>
        <x:v>-103.89999999999999</x:v>
      </x:c>
      <x:c r="I340" s="29" t="n">
        <x:v>0</x:v>
      </x:c>
      <x:c r="J340" s="28" t="n">
        <x:f>H340+I340</x:f>
        <x:v>-103.89999999999999</x:v>
      </x:c>
      <x:c r="K340" s="26" t="str">
        <x:v>Projection-only v1.0</x:v>
      </x:c>
      <x:c r="L340" s="26" t="n">
        <x:f>RANK.EQ(J340,$J$5:$J$619,0)</x:f>
        <x:v>349</x:v>
      </x:c>
      <x:c r="M340" s="26" t="str">
        <x:f>IF(I340=0,"PROJECTION ONLY","EDITORIAL ADJUSTMENT")</x:f>
        <x:v>PROJECTION ONLY</x:v>
      </x:c>
    </x:row>
    <x:row r="341">
      <x:c r="A341" s="26" t="str">
        <x:v>WR</x:v>
      </x:c>
      <x:c r="B341" s="26" t="n">
        <x:v>169</x:v>
      </x:c>
      <x:c r="C341" s="26" t="str">
        <x:v>Jimmy Horn Jr.</x:v>
      </x:c>
      <x:c r="D341" s="26" t="str">
        <x:v>CAR</x:v>
      </x:c>
      <x:c r="E341" s="28" t="n">
        <x:v>7.3</x:v>
      </x:c>
      <x:c r="F341" s="28" t="str">
        <x:v>WR|169</x:v>
      </x:c>
      <x:c r="G341" s="28" t="n">
        <x:f>XLOOKUP(A341,'Assumptions'!$A$12:$A$15,'Assumptions'!$C$12:$C$15)</x:f>
        <x:v>110.6</x:v>
      </x:c>
      <x:c r="H341" s="28" t="n">
        <x:f>E341-G341</x:f>
        <x:v>-103.3</x:v>
      </x:c>
      <x:c r="I341" s="29" t="n">
        <x:v>0</x:v>
      </x:c>
      <x:c r="J341" s="28" t="n">
        <x:f>H341+I341</x:f>
        <x:v>-103.3</x:v>
      </x:c>
      <x:c r="K341" s="26" t="str">
        <x:v>Projection-only v1.0</x:v>
      </x:c>
      <x:c r="L341" s="26" t="n">
        <x:f>RANK.EQ(J341,$J$5:$J$619,0)</x:f>
        <x:v>343</x:v>
      </x:c>
      <x:c r="M341" s="26" t="str">
        <x:f>IF(I341=0,"PROJECTION ONLY","EDITORIAL ADJUSTMENT")</x:f>
        <x:v>PROJECTION ONLY</x:v>
      </x:c>
    </x:row>
    <x:row r="342">
      <x:c r="A342" s="26" t="str">
        <x:v>WR</x:v>
      </x:c>
      <x:c r="B342" s="26" t="n">
        <x:v>170</x:v>
      </x:c>
      <x:c r="C342" s="26" t="str">
        <x:v>Noah Thomas</x:v>
      </x:c>
      <x:c r="D342" s="26" t="str">
        <x:v>CIN</x:v>
      </x:c>
      <x:c r="E342" s="28" t="n">
        <x:v>6.4</x:v>
      </x:c>
      <x:c r="F342" s="28" t="str">
        <x:v>WR|170</x:v>
      </x:c>
      <x:c r="G342" s="28" t="n">
        <x:f>XLOOKUP(A342,'Assumptions'!$A$12:$A$15,'Assumptions'!$C$12:$C$15)</x:f>
        <x:v>110.6</x:v>
      </x:c>
      <x:c r="H342" s="28" t="n">
        <x:f>E342-G342</x:f>
        <x:v>-104.19999999999999</x:v>
      </x:c>
      <x:c r="I342" s="29" t="n">
        <x:v>0</x:v>
      </x:c>
      <x:c r="J342" s="28" t="n">
        <x:f>H342+I342</x:f>
        <x:v>-104.19999999999999</x:v>
      </x:c>
      <x:c r="K342" s="26" t="str">
        <x:v>Projection-only v1.0</x:v>
      </x:c>
      <x:c r="L342" s="26" t="n">
        <x:f>RANK.EQ(J342,$J$5:$J$619,0)</x:f>
        <x:v>352</x:v>
      </x:c>
      <x:c r="M342" s="26" t="str">
        <x:f>IF(I342=0,"PROJECTION ONLY","EDITORIAL ADJUSTMENT")</x:f>
        <x:v>PROJECTION ONLY</x:v>
      </x:c>
    </x:row>
    <x:row r="343">
      <x:c r="A343" s="26" t="str">
        <x:v>WR</x:v>
      </x:c>
      <x:c r="B343" s="26" t="n">
        <x:v>171</x:v>
      </x:c>
      <x:c r="C343" s="26" t="str">
        <x:v>Tai Felton</x:v>
      </x:c>
      <x:c r="D343" s="26" t="str">
        <x:v>MIN</x:v>
      </x:c>
      <x:c r="E343" s="28" t="n">
        <x:v>6.4</x:v>
      </x:c>
      <x:c r="F343" s="28" t="str">
        <x:v>WR|171</x:v>
      </x:c>
      <x:c r="G343" s="28" t="n">
        <x:f>XLOOKUP(A343,'Assumptions'!$A$12:$A$15,'Assumptions'!$C$12:$C$15)</x:f>
        <x:v>110.6</x:v>
      </x:c>
      <x:c r="H343" s="28" t="n">
        <x:f>E343-G343</x:f>
        <x:v>-104.19999999999999</x:v>
      </x:c>
      <x:c r="I343" s="29" t="n">
        <x:v>0</x:v>
      </x:c>
      <x:c r="J343" s="28" t="n">
        <x:f>H343+I343</x:f>
        <x:v>-104.19999999999999</x:v>
      </x:c>
      <x:c r="K343" s="26" t="str">
        <x:v>Projection-only v1.0</x:v>
      </x:c>
      <x:c r="L343" s="26" t="n">
        <x:f>RANK.EQ(J343,$J$5:$J$619,0)</x:f>
        <x:v>352</x:v>
      </x:c>
      <x:c r="M343" s="26" t="str">
        <x:f>IF(I343=0,"PROJECTION ONLY","EDITORIAL ADJUSTMENT")</x:f>
        <x:v>PROJECTION ONLY</x:v>
      </x:c>
    </x:row>
    <x:row r="344">
      <x:c r="A344" s="26" t="str">
        <x:v>WR</x:v>
      </x:c>
      <x:c r="B344" s="26" t="n">
        <x:v>172</x:v>
      </x:c>
      <x:c r="C344" s="26" t="str">
        <x:v>CJ Daniels</x:v>
      </x:c>
      <x:c r="D344" s="26" t="str">
        <x:v>LAR</x:v>
      </x:c>
      <x:c r="E344" s="28" t="n">
        <x:v>6.4</x:v>
      </x:c>
      <x:c r="F344" s="28" t="str">
        <x:v>WR|172</x:v>
      </x:c>
      <x:c r="G344" s="28" t="n">
        <x:f>XLOOKUP(A344,'Assumptions'!$A$12:$A$15,'Assumptions'!$C$12:$C$15)</x:f>
        <x:v>110.6</x:v>
      </x:c>
      <x:c r="H344" s="28" t="n">
        <x:f>E344-G344</x:f>
        <x:v>-104.19999999999999</x:v>
      </x:c>
      <x:c r="I344" s="29" t="n">
        <x:v>0</x:v>
      </x:c>
      <x:c r="J344" s="28" t="n">
        <x:f>H344+I344</x:f>
        <x:v>-104.19999999999999</x:v>
      </x:c>
      <x:c r="K344" s="26" t="str">
        <x:v>Projection-only v1.0</x:v>
      </x:c>
      <x:c r="L344" s="26" t="n">
        <x:f>RANK.EQ(J344,$J$5:$J$619,0)</x:f>
        <x:v>352</x:v>
      </x:c>
      <x:c r="M344" s="26" t="str">
        <x:f>IF(I344=0,"PROJECTION ONLY","EDITORIAL ADJUSTMENT")</x:f>
        <x:v>PROJECTION ONLY</x:v>
      </x:c>
    </x:row>
    <x:row r="345">
      <x:c r="A345" s="26" t="str">
        <x:v>WR</x:v>
      </x:c>
      <x:c r="B345" s="26" t="n">
        <x:v>173</x:v>
      </x:c>
      <x:c r="C345" s="26" t="str">
        <x:v>Isaiah Williams</x:v>
      </x:c>
      <x:c r="D345" s="26" t="str">
        <x:v>NYJ</x:v>
      </x:c>
      <x:c r="E345" s="28" t="n">
        <x:v>6.5</x:v>
      </x:c>
      <x:c r="F345" s="28" t="str">
        <x:v>WR|173</x:v>
      </x:c>
      <x:c r="G345" s="28" t="n">
        <x:f>XLOOKUP(A345,'Assumptions'!$A$12:$A$15,'Assumptions'!$C$12:$C$15)</x:f>
        <x:v>110.6</x:v>
      </x:c>
      <x:c r="H345" s="28" t="n">
        <x:f>E345-G345</x:f>
        <x:v>-104.1</x:v>
      </x:c>
      <x:c r="I345" s="29" t="n">
        <x:v>0</x:v>
      </x:c>
      <x:c r="J345" s="28" t="n">
        <x:f>H345+I345</x:f>
        <x:v>-104.1</x:v>
      </x:c>
      <x:c r="K345" s="26" t="str">
        <x:v>Projection-only v1.0</x:v>
      </x:c>
      <x:c r="L345" s="26" t="n">
        <x:f>RANK.EQ(J345,$J$5:$J$619,0)</x:f>
        <x:v>351</x:v>
      </x:c>
      <x:c r="M345" s="26" t="str">
        <x:f>IF(I345=0,"PROJECTION ONLY","EDITORIAL ADJUSTMENT")</x:f>
        <x:v>PROJECTION ONLY</x:v>
      </x:c>
    </x:row>
    <x:row r="346">
      <x:c r="A346" s="26" t="str">
        <x:v>WR</x:v>
      </x:c>
      <x:c r="B346" s="26" t="n">
        <x:v>174</x:v>
      </x:c>
      <x:c r="C346" s="26" t="str">
        <x:v>Darius Cooper</x:v>
      </x:c>
      <x:c r="D346" s="26" t="str">
        <x:v>PHI</x:v>
      </x:c>
      <x:c r="E346" s="28" t="n">
        <x:v>6.3</x:v>
      </x:c>
      <x:c r="F346" s="28" t="str">
        <x:v>WR|174</x:v>
      </x:c>
      <x:c r="G346" s="28" t="n">
        <x:f>XLOOKUP(A346,'Assumptions'!$A$12:$A$15,'Assumptions'!$C$12:$C$15)</x:f>
        <x:v>110.6</x:v>
      </x:c>
      <x:c r="H346" s="28" t="n">
        <x:f>E346-G346</x:f>
        <x:v>-104.3</x:v>
      </x:c>
      <x:c r="I346" s="29" t="n">
        <x:v>0</x:v>
      </x:c>
      <x:c r="J346" s="28" t="n">
        <x:f>H346+I346</x:f>
        <x:v>-104.3</x:v>
      </x:c>
      <x:c r="K346" s="26" t="str">
        <x:v>Projection-only v1.0</x:v>
      </x:c>
      <x:c r="L346" s="26" t="n">
        <x:f>RANK.EQ(J346,$J$5:$J$619,0)</x:f>
        <x:v>355</x:v>
      </x:c>
      <x:c r="M346" s="26" t="str">
        <x:f>IF(I346=0,"PROJECTION ONLY","EDITORIAL ADJUSTMENT")</x:f>
        <x:v>PROJECTION ONLY</x:v>
      </x:c>
    </x:row>
    <x:row r="347">
      <x:c r="A347" s="26" t="str">
        <x:v>WR</x:v>
      </x:c>
      <x:c r="B347" s="26" t="n">
        <x:v>175</x:v>
      </x:c>
      <x:c r="C347" s="26" t="str">
        <x:v>Derius Davis</x:v>
      </x:c>
      <x:c r="D347" s="26" t="str">
        <x:v>LAC</x:v>
      </x:c>
      <x:c r="E347" s="28" t="n">
        <x:v>6.1</x:v>
      </x:c>
      <x:c r="F347" s="28" t="str">
        <x:v>WR|175</x:v>
      </x:c>
      <x:c r="G347" s="28" t="n">
        <x:f>XLOOKUP(A347,'Assumptions'!$A$12:$A$15,'Assumptions'!$C$12:$C$15)</x:f>
        <x:v>110.6</x:v>
      </x:c>
      <x:c r="H347" s="28" t="n">
        <x:f>E347-G347</x:f>
        <x:v>-104.5</x:v>
      </x:c>
      <x:c r="I347" s="29" t="n">
        <x:v>0</x:v>
      </x:c>
      <x:c r="J347" s="28" t="n">
        <x:f>H347+I347</x:f>
        <x:v>-104.5</x:v>
      </x:c>
      <x:c r="K347" s="26" t="str">
        <x:v>Projection-only v1.0</x:v>
      </x:c>
      <x:c r="L347" s="26" t="n">
        <x:f>RANK.EQ(J347,$J$5:$J$619,0)</x:f>
        <x:v>357</x:v>
      </x:c>
      <x:c r="M347" s="26" t="str">
        <x:f>IF(I347=0,"PROJECTION ONLY","EDITORIAL ADJUSTMENT")</x:f>
        <x:v>PROJECTION ONLY</x:v>
      </x:c>
    </x:row>
    <x:row r="348">
      <x:c r="A348" s="26" t="str">
        <x:v>WR</x:v>
      </x:c>
      <x:c r="B348" s="26" t="n">
        <x:v>176</x:v>
      </x:c>
      <x:c r="C348" s="26" t="str">
        <x:v>Tyrell Shavers</x:v>
      </x:c>
      <x:c r="D348" s="26" t="str">
        <x:v>BUF</x:v>
      </x:c>
      <x:c r="E348" s="28" t="n">
        <x:v>5.9</x:v>
      </x:c>
      <x:c r="F348" s="28" t="str">
        <x:v>WR|176</x:v>
      </x:c>
      <x:c r="G348" s="28" t="n">
        <x:f>XLOOKUP(A348,'Assumptions'!$A$12:$A$15,'Assumptions'!$C$12:$C$15)</x:f>
        <x:v>110.6</x:v>
      </x:c>
      <x:c r="H348" s="28" t="n">
        <x:f>E348-G348</x:f>
        <x:v>-104.69999999999999</x:v>
      </x:c>
      <x:c r="I348" s="29" t="n">
        <x:v>0</x:v>
      </x:c>
      <x:c r="J348" s="28" t="n">
        <x:f>H348+I348</x:f>
        <x:v>-104.69999999999999</x:v>
      </x:c>
      <x:c r="K348" s="26" t="str">
        <x:v>Projection-only v1.0</x:v>
      </x:c>
      <x:c r="L348" s="26" t="n">
        <x:f>RANK.EQ(J348,$J$5:$J$619,0)</x:f>
        <x:v>359</x:v>
      </x:c>
      <x:c r="M348" s="26" t="str">
        <x:f>IF(I348=0,"PROJECTION ONLY","EDITORIAL ADJUSTMENT")</x:f>
        <x:v>PROJECTION ONLY</x:v>
      </x:c>
    </x:row>
    <x:row r="349">
      <x:c r="A349" s="26" t="str">
        <x:v>WR</x:v>
      </x:c>
      <x:c r="B349" s="26" t="n">
        <x:v>177</x:v>
      </x:c>
      <x:c r="C349" s="26" t="str">
        <x:v>Cody White</x:v>
      </x:c>
      <x:c r="D349" s="26" t="str">
        <x:v>SEA</x:v>
      </x:c>
      <x:c r="E349" s="28" t="n">
        <x:v>5.8</x:v>
      </x:c>
      <x:c r="F349" s="28" t="str">
        <x:v>WR|177</x:v>
      </x:c>
      <x:c r="G349" s="28" t="n">
        <x:f>XLOOKUP(A349,'Assumptions'!$A$12:$A$15,'Assumptions'!$C$12:$C$15)</x:f>
        <x:v>110.6</x:v>
      </x:c>
      <x:c r="H349" s="28" t="n">
        <x:f>E349-G349</x:f>
        <x:v>-104.8</x:v>
      </x:c>
      <x:c r="I349" s="29" t="n">
        <x:v>0</x:v>
      </x:c>
      <x:c r="J349" s="28" t="n">
        <x:f>H349+I349</x:f>
        <x:v>-104.8</x:v>
      </x:c>
      <x:c r="K349" s="26" t="str">
        <x:v>Projection-only v1.0</x:v>
      </x:c>
      <x:c r="L349" s="26" t="n">
        <x:f>RANK.EQ(J349,$J$5:$J$619,0)</x:f>
        <x:v>360</x:v>
      </x:c>
      <x:c r="M349" s="26" t="str">
        <x:f>IF(I349=0,"PROJECTION ONLY","EDITORIAL ADJUSTMENT")</x:f>
        <x:v>PROJECTION ONLY</x:v>
      </x:c>
    </x:row>
    <x:row r="350">
      <x:c r="A350" s="26" t="str">
        <x:v>WR</x:v>
      </x:c>
      <x:c r="B350" s="26" t="n">
        <x:v>178</x:v>
      </x:c>
      <x:c r="C350" s="26" t="str">
        <x:v>Malachi Corley</x:v>
      </x:c>
      <x:c r="D350" s="26" t="str">
        <x:v>CLE</x:v>
      </x:c>
      <x:c r="E350" s="28" t="n">
        <x:v>6.6</x:v>
      </x:c>
      <x:c r="F350" s="28" t="str">
        <x:v>WR|178</x:v>
      </x:c>
      <x:c r="G350" s="28" t="n">
        <x:f>XLOOKUP(A350,'Assumptions'!$A$12:$A$15,'Assumptions'!$C$12:$C$15)</x:f>
        <x:v>110.6</x:v>
      </x:c>
      <x:c r="H350" s="28" t="n">
        <x:f>E350-G350</x:f>
        <x:v>-104</x:v>
      </x:c>
      <x:c r="I350" s="29" t="n">
        <x:v>0</x:v>
      </x:c>
      <x:c r="J350" s="28" t="n">
        <x:f>H350+I350</x:f>
        <x:v>-104</x:v>
      </x:c>
      <x:c r="K350" s="26" t="str">
        <x:v>Projection-only v1.0</x:v>
      </x:c>
      <x:c r="L350" s="26" t="n">
        <x:f>RANK.EQ(J350,$J$5:$J$619,0)</x:f>
        <x:v>350</x:v>
      </x:c>
      <x:c r="M350" s="26" t="str">
        <x:f>IF(I350=0,"PROJECTION ONLY","EDITORIAL ADJUSTMENT")</x:f>
        <x:v>PROJECTION ONLY</x:v>
      </x:c>
    </x:row>
    <x:row r="351">
      <x:c r="A351" s="26" t="str">
        <x:v>WR</x:v>
      </x:c>
      <x:c r="B351" s="26" t="n">
        <x:v>179</x:v>
      </x:c>
      <x:c r="C351" s="26" t="str">
        <x:v>Isaiah Hodgins</x:v>
      </x:c>
      <x:c r="D351" s="26" t="str">
        <x:v>NYG</x:v>
      </x:c>
      <x:c r="E351" s="28" t="n">
        <x:v>5.4</x:v>
      </x:c>
      <x:c r="F351" s="28" t="str">
        <x:v>WR|179</x:v>
      </x:c>
      <x:c r="G351" s="28" t="n">
        <x:f>XLOOKUP(A351,'Assumptions'!$A$12:$A$15,'Assumptions'!$C$12:$C$15)</x:f>
        <x:v>110.6</x:v>
      </x:c>
      <x:c r="H351" s="28" t="n">
        <x:f>E351-G351</x:f>
        <x:v>-105.19999999999999</x:v>
      </x:c>
      <x:c r="I351" s="29" t="n">
        <x:v>0</x:v>
      </x:c>
      <x:c r="J351" s="28" t="n">
        <x:f>H351+I351</x:f>
        <x:v>-105.19999999999999</x:v>
      </x:c>
      <x:c r="K351" s="26" t="str">
        <x:v>Projection-only v1.0</x:v>
      </x:c>
      <x:c r="L351" s="26" t="n">
        <x:f>RANK.EQ(J351,$J$5:$J$619,0)</x:f>
        <x:v>363</x:v>
      </x:c>
      <x:c r="M351" s="26" t="str">
        <x:f>IF(I351=0,"PROJECTION ONLY","EDITORIAL ADJUSTMENT")</x:f>
        <x:v>PROJECTION ONLY</x:v>
      </x:c>
    </x:row>
    <x:row r="352">
      <x:c r="A352" s="26" t="str">
        <x:v>WR</x:v>
      </x:c>
      <x:c r="B352" s="26" t="n">
        <x:v>180</x:v>
      </x:c>
      <x:c r="C352" s="26" t="str">
        <x:v>Mason Tipton</x:v>
      </x:c>
      <x:c r="D352" s="26" t="str">
        <x:v>NO</x:v>
      </x:c>
      <x:c r="E352" s="28" t="n">
        <x:v>6.1</x:v>
      </x:c>
      <x:c r="F352" s="28" t="str">
        <x:v>WR|180</x:v>
      </x:c>
      <x:c r="G352" s="28" t="n">
        <x:f>XLOOKUP(A352,'Assumptions'!$A$12:$A$15,'Assumptions'!$C$12:$C$15)</x:f>
        <x:v>110.6</x:v>
      </x:c>
      <x:c r="H352" s="28" t="n">
        <x:f>E352-G352</x:f>
        <x:v>-104.5</x:v>
      </x:c>
      <x:c r="I352" s="29" t="n">
        <x:v>0</x:v>
      </x:c>
      <x:c r="J352" s="28" t="n">
        <x:f>H352+I352</x:f>
        <x:v>-104.5</x:v>
      </x:c>
      <x:c r="K352" s="26" t="str">
        <x:v>Projection-only v1.0</x:v>
      </x:c>
      <x:c r="L352" s="26" t="n">
        <x:f>RANK.EQ(J352,$J$5:$J$619,0)</x:f>
        <x:v>357</x:v>
      </x:c>
      <x:c r="M352" s="26" t="str">
        <x:f>IF(I352=0,"PROJECTION ONLY","EDITORIAL ADJUSTMENT")</x:f>
        <x:v>PROJECTION ONLY</x:v>
      </x:c>
    </x:row>
    <x:row r="353">
      <x:c r="A353" s="26" t="str">
        <x:v>WR</x:v>
      </x:c>
      <x:c r="B353" s="26" t="n">
        <x:v>181</x:v>
      </x:c>
      <x:c r="C353" s="26" t="str">
        <x:v>David Moore</x:v>
      </x:c>
      <x:c r="D353" s="26" t="str">
        <x:v>CAR</x:v>
      </x:c>
      <x:c r="E353" s="28" t="n">
        <x:v>5.1</x:v>
      </x:c>
      <x:c r="F353" s="28" t="str">
        <x:v>WR|181</x:v>
      </x:c>
      <x:c r="G353" s="28" t="n">
        <x:f>XLOOKUP(A353,'Assumptions'!$A$12:$A$15,'Assumptions'!$C$12:$C$15)</x:f>
        <x:v>110.6</x:v>
      </x:c>
      <x:c r="H353" s="28" t="n">
        <x:f>E353-G353</x:f>
        <x:v>-105.5</x:v>
      </x:c>
      <x:c r="I353" s="29" t="n">
        <x:v>0</x:v>
      </x:c>
      <x:c r="J353" s="28" t="n">
        <x:f>H353+I353</x:f>
        <x:v>-105.5</x:v>
      </x:c>
      <x:c r="K353" s="26" t="str">
        <x:v>Projection-only v1.0</x:v>
      </x:c>
      <x:c r="L353" s="26" t="n">
        <x:f>RANK.EQ(J353,$J$5:$J$619,0)</x:f>
        <x:v>368</x:v>
      </x:c>
      <x:c r="M353" s="26" t="str">
        <x:f>IF(I353=0,"PROJECTION ONLY","EDITORIAL ADJUSTMENT")</x:f>
        <x:v>PROJECTION ONLY</x:v>
      </x:c>
    </x:row>
    <x:row r="354">
      <x:c r="A354" s="26" t="str">
        <x:v>WR</x:v>
      </x:c>
      <x:c r="B354" s="26" t="n">
        <x:v>182</x:v>
      </x:c>
      <x:c r="C354" s="26" t="str">
        <x:v>Jonathan Mingo</x:v>
      </x:c>
      <x:c r="D354" s="26" t="str">
        <x:v>DAL</x:v>
      </x:c>
      <x:c r="E354" s="28" t="n">
        <x:v>5</x:v>
      </x:c>
      <x:c r="F354" s="28" t="str">
        <x:v>WR|182</x:v>
      </x:c>
      <x:c r="G354" s="28" t="n">
        <x:f>XLOOKUP(A354,'Assumptions'!$A$12:$A$15,'Assumptions'!$C$12:$C$15)</x:f>
        <x:v>110.6</x:v>
      </x:c>
      <x:c r="H354" s="28" t="n">
        <x:f>E354-G354</x:f>
        <x:v>-105.6</x:v>
      </x:c>
      <x:c r="I354" s="29" t="n">
        <x:v>0</x:v>
      </x:c>
      <x:c r="J354" s="28" t="n">
        <x:f>H354+I354</x:f>
        <x:v>-105.6</x:v>
      </x:c>
      <x:c r="K354" s="26" t="str">
        <x:v>Projection-only v1.0</x:v>
      </x:c>
      <x:c r="L354" s="26" t="n">
        <x:f>RANK.EQ(J354,$J$5:$J$619,0)</x:f>
        <x:v>369</x:v>
      </x:c>
      <x:c r="M354" s="26" t="str">
        <x:f>IF(I354=0,"PROJECTION ONLY","EDITORIAL ADJUSTMENT")</x:f>
        <x:v>PROJECTION ONLY</x:v>
      </x:c>
    </x:row>
    <x:row r="355">
      <x:c r="A355" s="26" t="str">
        <x:v>WR</x:v>
      </x:c>
      <x:c r="B355" s="26" t="n">
        <x:v>183</x:v>
      </x:c>
      <x:c r="C355" s="26" t="str">
        <x:v>Chase Roberts</x:v>
      </x:c>
      <x:c r="D355" s="26" t="str">
        <x:v>LV</x:v>
      </x:c>
      <x:c r="E355" s="28" t="n">
        <x:v>4.5</x:v>
      </x:c>
      <x:c r="F355" s="28" t="str">
        <x:v>WR|183</x:v>
      </x:c>
      <x:c r="G355" s="28" t="n">
        <x:f>XLOOKUP(A355,'Assumptions'!$A$12:$A$15,'Assumptions'!$C$12:$C$15)</x:f>
        <x:v>110.6</x:v>
      </x:c>
      <x:c r="H355" s="28" t="n">
        <x:f>E355-G355</x:f>
        <x:v>-106.1</x:v>
      </x:c>
      <x:c r="I355" s="29" t="n">
        <x:v>0</x:v>
      </x:c>
      <x:c r="J355" s="28" t="n">
        <x:f>H355+I355</x:f>
        <x:v>-106.1</x:v>
      </x:c>
      <x:c r="K355" s="26" t="str">
        <x:v>Projection-only v1.0</x:v>
      </x:c>
      <x:c r="L355" s="26" t="n">
        <x:f>RANK.EQ(J355,$J$5:$J$619,0)</x:f>
        <x:v>374</x:v>
      </x:c>
      <x:c r="M355" s="26" t="str">
        <x:f>IF(I355=0,"PROJECTION ONLY","EDITORIAL ADJUSTMENT")</x:f>
        <x:v>PROJECTION ONLY</x:v>
      </x:c>
    </x:row>
    <x:row r="356">
      <x:c r="A356" s="26" t="str">
        <x:v>WR</x:v>
      </x:c>
      <x:c r="B356" s="26" t="n">
        <x:v>184</x:v>
      </x:c>
      <x:c r="C356" s="26" t="str">
        <x:v>Kaden Wetjen</x:v>
      </x:c>
      <x:c r="D356" s="26" t="str">
        <x:v>PIT</x:v>
      </x:c>
      <x:c r="E356" s="28" t="n">
        <x:v>4.8</x:v>
      </x:c>
      <x:c r="F356" s="28" t="str">
        <x:v>WR|184</x:v>
      </x:c>
      <x:c r="G356" s="28" t="n">
        <x:f>XLOOKUP(A356,'Assumptions'!$A$12:$A$15,'Assumptions'!$C$12:$C$15)</x:f>
        <x:v>110.6</x:v>
      </x:c>
      <x:c r="H356" s="28" t="n">
        <x:f>E356-G356</x:f>
        <x:v>-105.8</x:v>
      </x:c>
      <x:c r="I356" s="29" t="n">
        <x:v>0</x:v>
      </x:c>
      <x:c r="J356" s="28" t="n">
        <x:f>H356+I356</x:f>
        <x:v>-105.8</x:v>
      </x:c>
      <x:c r="K356" s="26" t="str">
        <x:v>Projection-only v1.0</x:v>
      </x:c>
      <x:c r="L356" s="26" t="n">
        <x:f>RANK.EQ(J356,$J$5:$J$619,0)</x:f>
        <x:v>372</x:v>
      </x:c>
      <x:c r="M356" s="26" t="str">
        <x:f>IF(I356=0,"PROJECTION ONLY","EDITORIAL ADJUSTMENT")</x:f>
        <x:v>PROJECTION ONLY</x:v>
      </x:c>
    </x:row>
    <x:row r="357">
      <x:c r="A357" s="26" t="str">
        <x:v>WR</x:v>
      </x:c>
      <x:c r="B357" s="26" t="n">
        <x:v>185</x:v>
      </x:c>
      <x:c r="C357" s="26" t="str">
        <x:v>Anthony Gould</x:v>
      </x:c>
      <x:c r="D357" s="26" t="str">
        <x:v>IND</x:v>
      </x:c>
      <x:c r="E357" s="28" t="n">
        <x:v>4.6</x:v>
      </x:c>
      <x:c r="F357" s="28" t="str">
        <x:v>WR|185</x:v>
      </x:c>
      <x:c r="G357" s="28" t="n">
        <x:f>XLOOKUP(A357,'Assumptions'!$A$12:$A$15,'Assumptions'!$C$12:$C$15)</x:f>
        <x:v>110.6</x:v>
      </x:c>
      <x:c r="H357" s="28" t="n">
        <x:f>E357-G357</x:f>
        <x:v>-106</x:v>
      </x:c>
      <x:c r="I357" s="29" t="n">
        <x:v>0</x:v>
      </x:c>
      <x:c r="J357" s="28" t="n">
        <x:f>H357+I357</x:f>
        <x:v>-106</x:v>
      </x:c>
      <x:c r="K357" s="26" t="str">
        <x:v>Projection-only v1.0</x:v>
      </x:c>
      <x:c r="L357" s="26" t="n">
        <x:f>RANK.EQ(J357,$J$5:$J$619,0)</x:f>
        <x:v>373</x:v>
      </x:c>
      <x:c r="M357" s="26" t="str">
        <x:f>IF(I357=0,"PROJECTION ONLY","EDITORIAL ADJUSTMENT")</x:f>
        <x:v>PROJECTION ONLY</x:v>
      </x:c>
    </x:row>
    <x:row r="358">
      <x:c r="A358" s="26" t="str">
        <x:v>WR</x:v>
      </x:c>
      <x:c r="B358" s="26" t="n">
        <x:v>186</x:v>
      </x:c>
      <x:c r="C358" s="26" t="str">
        <x:v>Dane Key</x:v>
      </x:c>
      <x:c r="D358" s="26" t="str">
        <x:v>DEN</x:v>
      </x:c>
      <x:c r="E358" s="28" t="n">
        <x:v>4.3</x:v>
      </x:c>
      <x:c r="F358" s="28" t="str">
        <x:v>WR|186</x:v>
      </x:c>
      <x:c r="G358" s="28" t="n">
        <x:f>XLOOKUP(A358,'Assumptions'!$A$12:$A$15,'Assumptions'!$C$12:$C$15)</x:f>
        <x:v>110.6</x:v>
      </x:c>
      <x:c r="H358" s="28" t="n">
        <x:f>E358-G358</x:f>
        <x:v>-106.3</x:v>
      </x:c>
      <x:c r="I358" s="29" t="n">
        <x:v>0</x:v>
      </x:c>
      <x:c r="J358" s="28" t="n">
        <x:f>H358+I358</x:f>
        <x:v>-106.3</x:v>
      </x:c>
      <x:c r="K358" s="26" t="str">
        <x:v>Projection-only v1.0</x:v>
      </x:c>
      <x:c r="L358" s="26" t="n">
        <x:f>RANK.EQ(J358,$J$5:$J$619,0)</x:f>
        <x:v>376</x:v>
      </x:c>
      <x:c r="M358" s="26" t="str">
        <x:f>IF(I358=0,"PROJECTION ONLY","EDITORIAL ADJUSTMENT")</x:f>
        <x:v>PROJECTION ONLY</x:v>
      </x:c>
    </x:row>
    <x:row r="359">
      <x:c r="A359" s="26" t="str">
        <x:v>WR</x:v>
      </x:c>
      <x:c r="B359" s="26" t="n">
        <x:v>187</x:v>
      </x:c>
      <x:c r="C359" s="26" t="str">
        <x:v>Tyler Johnson</x:v>
      </x:c>
      <x:c r="D359" s="26" t="str">
        <x:v>DAL</x:v>
      </x:c>
      <x:c r="E359" s="28" t="n">
        <x:v>4.4</x:v>
      </x:c>
      <x:c r="F359" s="28" t="str">
        <x:v>WR|187</x:v>
      </x:c>
      <x:c r="G359" s="28" t="n">
        <x:f>XLOOKUP(A359,'Assumptions'!$A$12:$A$15,'Assumptions'!$C$12:$C$15)</x:f>
        <x:v>110.6</x:v>
      </x:c>
      <x:c r="H359" s="28" t="n">
        <x:f>E359-G359</x:f>
        <x:v>-106.19999999999999</x:v>
      </x:c>
      <x:c r="I359" s="29" t="n">
        <x:v>0</x:v>
      </x:c>
      <x:c r="J359" s="28" t="n">
        <x:f>H359+I359</x:f>
        <x:v>-106.19999999999999</x:v>
      </x:c>
      <x:c r="K359" s="26" t="str">
        <x:v>Projection-only v1.0</x:v>
      </x:c>
      <x:c r="L359" s="26" t="n">
        <x:f>RANK.EQ(J359,$J$5:$J$619,0)</x:f>
        <x:v>375</x:v>
      </x:c>
      <x:c r="M359" s="26" t="str">
        <x:f>IF(I359=0,"PROJECTION ONLY","EDITORIAL ADJUSTMENT")</x:f>
        <x:v>PROJECTION ONLY</x:v>
      </x:c>
    </x:row>
    <x:row r="360">
      <x:c r="A360" s="26" t="str">
        <x:v>WR</x:v>
      </x:c>
      <x:c r="B360" s="26" t="n">
        <x:v>188</x:v>
      </x:c>
      <x:c r="C360" s="26" t="str">
        <x:v>Justin Watson</x:v>
      </x:c>
      <x:c r="D360" s="26" t="str">
        <x:v>HOU</x:v>
      </x:c>
      <x:c r="E360" s="28" t="n">
        <x:v>4.3</x:v>
      </x:c>
      <x:c r="F360" s="28" t="str">
        <x:v>WR|188</x:v>
      </x:c>
      <x:c r="G360" s="28" t="n">
        <x:f>XLOOKUP(A360,'Assumptions'!$A$12:$A$15,'Assumptions'!$C$12:$C$15)</x:f>
        <x:v>110.6</x:v>
      </x:c>
      <x:c r="H360" s="28" t="n">
        <x:f>E360-G360</x:f>
        <x:v>-106.3</x:v>
      </x:c>
      <x:c r="I360" s="29" t="n">
        <x:v>0</x:v>
      </x:c>
      <x:c r="J360" s="28" t="n">
        <x:f>H360+I360</x:f>
        <x:v>-106.3</x:v>
      </x:c>
      <x:c r="K360" s="26" t="str">
        <x:v>Projection-only v1.0</x:v>
      </x:c>
      <x:c r="L360" s="26" t="n">
        <x:f>RANK.EQ(J360,$J$5:$J$619,0)</x:f>
        <x:v>376</x:v>
      </x:c>
      <x:c r="M360" s="26" t="str">
        <x:f>IF(I360=0,"PROJECTION ONLY","EDITORIAL ADJUSTMENT")</x:f>
        <x:v>PROJECTION ONLY</x:v>
      </x:c>
    </x:row>
    <x:row r="361">
      <x:c r="A361" s="26" t="str">
        <x:v>WR</x:v>
      </x:c>
      <x:c r="B361" s="26" t="n">
        <x:v>189</x:v>
      </x:c>
      <x:c r="C361" s="26" t="str">
        <x:v>Jake Bobo</x:v>
      </x:c>
      <x:c r="D361" s="26" t="str">
        <x:v>SEA</x:v>
      </x:c>
      <x:c r="E361" s="28" t="n">
        <x:v>3.9</x:v>
      </x:c>
      <x:c r="F361" s="28" t="str">
        <x:v>WR|189</x:v>
      </x:c>
      <x:c r="G361" s="28" t="n">
        <x:f>XLOOKUP(A361,'Assumptions'!$A$12:$A$15,'Assumptions'!$C$12:$C$15)</x:f>
        <x:v>110.6</x:v>
      </x:c>
      <x:c r="H361" s="28" t="n">
        <x:f>E361-G361</x:f>
        <x:v>-106.69999999999999</x:v>
      </x:c>
      <x:c r="I361" s="29" t="n">
        <x:v>0</x:v>
      </x:c>
      <x:c r="J361" s="28" t="n">
        <x:f>H361+I361</x:f>
        <x:v>-106.69999999999999</x:v>
      </x:c>
      <x:c r="K361" s="26" t="str">
        <x:v>Projection-only v1.0</x:v>
      </x:c>
      <x:c r="L361" s="26" t="n">
        <x:f>RANK.EQ(J361,$J$5:$J$619,0)</x:f>
        <x:v>379</x:v>
      </x:c>
      <x:c r="M361" s="26" t="str">
        <x:f>IF(I361=0,"PROJECTION ONLY","EDITORIAL ADJUSTMENT")</x:f>
        <x:v>PROJECTION ONLY</x:v>
      </x:c>
    </x:row>
    <x:row r="362">
      <x:c r="A362" s="26" t="str">
        <x:v>WR</x:v>
      </x:c>
      <x:c r="B362" s="26" t="n">
        <x:v>190</x:v>
      </x:c>
      <x:c r="C362" s="26" t="str">
        <x:v>Tylan Wallace</x:v>
      </x:c>
      <x:c r="D362" s="26" t="str">
        <x:v>CLE</x:v>
      </x:c>
      <x:c r="E362" s="28" t="n">
        <x:v>3.5</x:v>
      </x:c>
      <x:c r="F362" s="28" t="str">
        <x:v>WR|190</x:v>
      </x:c>
      <x:c r="G362" s="28" t="n">
        <x:f>XLOOKUP(A362,'Assumptions'!$A$12:$A$15,'Assumptions'!$C$12:$C$15)</x:f>
        <x:v>110.6</x:v>
      </x:c>
      <x:c r="H362" s="28" t="n">
        <x:f>E362-G362</x:f>
        <x:v>-107.1</x:v>
      </x:c>
      <x:c r="I362" s="29" t="n">
        <x:v>0</x:v>
      </x:c>
      <x:c r="J362" s="28" t="n">
        <x:f>H362+I362</x:f>
        <x:v>-107.1</x:v>
      </x:c>
      <x:c r="K362" s="26" t="str">
        <x:v>Projection-only v1.0</x:v>
      </x:c>
      <x:c r="L362" s="26" t="n">
        <x:f>RANK.EQ(J362,$J$5:$J$619,0)</x:f>
        <x:v>381</x:v>
      </x:c>
      <x:c r="M362" s="26" t="str">
        <x:f>IF(I362=0,"PROJECTION ONLY","EDITORIAL ADJUSTMENT")</x:f>
        <x:v>PROJECTION ONLY</x:v>
      </x:c>
    </x:row>
    <x:row r="363">
      <x:c r="A363" s="26" t="str">
        <x:v>WR</x:v>
      </x:c>
      <x:c r="B363" s="26" t="n">
        <x:v>191</x:v>
      </x:c>
      <x:c r="C363" s="26" t="str">
        <x:v>Barion Brown</x:v>
      </x:c>
      <x:c r="D363" s="26" t="str">
        <x:v>NO</x:v>
      </x:c>
      <x:c r="E363" s="28" t="n">
        <x:v>3.4</x:v>
      </x:c>
      <x:c r="F363" s="28" t="str">
        <x:v>WR|191</x:v>
      </x:c>
      <x:c r="G363" s="28" t="n">
        <x:f>XLOOKUP(A363,'Assumptions'!$A$12:$A$15,'Assumptions'!$C$12:$C$15)</x:f>
        <x:v>110.6</x:v>
      </x:c>
      <x:c r="H363" s="28" t="n">
        <x:f>E363-G363</x:f>
        <x:v>-107.19999999999999</x:v>
      </x:c>
      <x:c r="I363" s="29" t="n">
        <x:v>0</x:v>
      </x:c>
      <x:c r="J363" s="28" t="n">
        <x:f>H363+I363</x:f>
        <x:v>-107.19999999999999</x:v>
      </x:c>
      <x:c r="K363" s="26" t="str">
        <x:v>Projection-only v1.0</x:v>
      </x:c>
      <x:c r="L363" s="26" t="n">
        <x:f>RANK.EQ(J363,$J$5:$J$619,0)</x:f>
        <x:v>382</x:v>
      </x:c>
      <x:c r="M363" s="26" t="str">
        <x:f>IF(I363=0,"PROJECTION ONLY","EDITORIAL ADJUSTMENT")</x:f>
        <x:v>PROJECTION ONLY</x:v>
      </x:c>
    </x:row>
    <x:row r="364">
      <x:c r="A364" s="26" t="str">
        <x:v>WR</x:v>
      </x:c>
      <x:c r="B364" s="26" t="n">
        <x:v>192</x:v>
      </x:c>
      <x:c r="C364" s="26" t="str">
        <x:v>Xavier Restrepo</x:v>
      </x:c>
      <x:c r="D364" s="26" t="str">
        <x:v>TEN</x:v>
      </x:c>
      <x:c r="E364" s="28" t="n">
        <x:v>3.2</x:v>
      </x:c>
      <x:c r="F364" s="28" t="str">
        <x:v>WR|192</x:v>
      </x:c>
      <x:c r="G364" s="28" t="n">
        <x:f>XLOOKUP(A364,'Assumptions'!$A$12:$A$15,'Assumptions'!$C$12:$C$15)</x:f>
        <x:v>110.6</x:v>
      </x:c>
      <x:c r="H364" s="28" t="n">
        <x:f>E364-G364</x:f>
        <x:v>-107.39999999999999</x:v>
      </x:c>
      <x:c r="I364" s="29" t="n">
        <x:v>0</x:v>
      </x:c>
      <x:c r="J364" s="28" t="n">
        <x:f>H364+I364</x:f>
        <x:v>-107.39999999999999</x:v>
      </x:c>
      <x:c r="K364" s="26" t="str">
        <x:v>Projection-only v1.0</x:v>
      </x:c>
      <x:c r="L364" s="26" t="n">
        <x:f>RANK.EQ(J364,$J$5:$J$619,0)</x:f>
        <x:v>384</x:v>
      </x:c>
      <x:c r="M364" s="26" t="str">
        <x:f>IF(I364=0,"PROJECTION ONLY","EDITORIAL ADJUSTMENT")</x:f>
        <x:v>PROJECTION ONLY</x:v>
      </x:c>
    </x:row>
    <x:row r="365">
      <x:c r="A365" s="26" t="str">
        <x:v>WR</x:v>
      </x:c>
      <x:c r="B365" s="26" t="n">
        <x:v>193</x:v>
      </x:c>
      <x:c r="C365" s="26" t="str">
        <x:v>Trebor Pena</x:v>
      </x:c>
      <x:c r="D365" s="26" t="str">
        <x:v>JAX</x:v>
      </x:c>
      <x:c r="E365" s="28" t="n">
        <x:v>3.1</x:v>
      </x:c>
      <x:c r="F365" s="28" t="str">
        <x:v>WR|193</x:v>
      </x:c>
      <x:c r="G365" s="28" t="n">
        <x:f>XLOOKUP(A365,'Assumptions'!$A$12:$A$15,'Assumptions'!$C$12:$C$15)</x:f>
        <x:v>110.6</x:v>
      </x:c>
      <x:c r="H365" s="28" t="n">
        <x:f>E365-G365</x:f>
        <x:v>-107.5</x:v>
      </x:c>
      <x:c r="I365" s="29" t="n">
        <x:v>0</x:v>
      </x:c>
      <x:c r="J365" s="28" t="n">
        <x:f>H365+I365</x:f>
        <x:v>-107.5</x:v>
      </x:c>
      <x:c r="K365" s="26" t="str">
        <x:v>Projection-only v1.0</x:v>
      </x:c>
      <x:c r="L365" s="26" t="n">
        <x:f>RANK.EQ(J365,$J$5:$J$619,0)</x:f>
        <x:v>385</x:v>
      </x:c>
      <x:c r="M365" s="26" t="str">
        <x:f>IF(I365=0,"PROJECTION ONLY","EDITORIAL ADJUSTMENT")</x:f>
        <x:v>PROJECTION ONLY</x:v>
      </x:c>
    </x:row>
    <x:row r="366">
      <x:c r="A366" s="26" t="str">
        <x:v>WR</x:v>
      </x:c>
      <x:c r="B366" s="26" t="n">
        <x:v>194</x:v>
      </x:c>
      <x:c r="C366" s="26" t="str">
        <x:v>Arian Smith</x:v>
      </x:c>
      <x:c r="D366" s="26" t="str">
        <x:v>NYJ</x:v>
      </x:c>
      <x:c r="E366" s="28" t="n">
        <x:v>3.6</x:v>
      </x:c>
      <x:c r="F366" s="28" t="str">
        <x:v>WR|194</x:v>
      </x:c>
      <x:c r="G366" s="28" t="n">
        <x:f>XLOOKUP(A366,'Assumptions'!$A$12:$A$15,'Assumptions'!$C$12:$C$15)</x:f>
        <x:v>110.6</x:v>
      </x:c>
      <x:c r="H366" s="28" t="n">
        <x:f>E366-G366</x:f>
        <x:v>-107</x:v>
      </x:c>
      <x:c r="I366" s="29" t="n">
        <x:v>0</x:v>
      </x:c>
      <x:c r="J366" s="28" t="n">
        <x:f>H366+I366</x:f>
        <x:v>-107</x:v>
      </x:c>
      <x:c r="K366" s="26" t="str">
        <x:v>Projection-only v1.0</x:v>
      </x:c>
      <x:c r="L366" s="26" t="n">
        <x:f>RANK.EQ(J366,$J$5:$J$619,0)</x:f>
        <x:v>380</x:v>
      </x:c>
      <x:c r="M366" s="26" t="str">
        <x:f>IF(I366=0,"PROJECTION ONLY","EDITORIAL ADJUSTMENT")</x:f>
        <x:v>PROJECTION ONLY</x:v>
      </x:c>
    </x:row>
    <x:row r="367">
      <x:c r="A367" s="26" t="str">
        <x:v>WR</x:v>
      </x:c>
      <x:c r="B367" s="26" t="n">
        <x:v>195</x:v>
      </x:c>
      <x:c r="C367" s="26" t="str">
        <x:v>Chris Moore</x:v>
      </x:c>
      <x:c r="D367" s="26" t="str">
        <x:v>BAL</x:v>
      </x:c>
      <x:c r="E367" s="28" t="n">
        <x:v>2.8</x:v>
      </x:c>
      <x:c r="F367" s="28" t="str">
        <x:v>WR|195</x:v>
      </x:c>
      <x:c r="G367" s="28" t="n">
        <x:f>XLOOKUP(A367,'Assumptions'!$A$12:$A$15,'Assumptions'!$C$12:$C$15)</x:f>
        <x:v>110.6</x:v>
      </x:c>
      <x:c r="H367" s="28" t="n">
        <x:f>E367-G367</x:f>
        <x:v>-107.8</x:v>
      </x:c>
      <x:c r="I367" s="29" t="n">
        <x:v>0</x:v>
      </x:c>
      <x:c r="J367" s="28" t="n">
        <x:f>H367+I367</x:f>
        <x:v>-107.8</x:v>
      </x:c>
      <x:c r="K367" s="26" t="str">
        <x:v>Projection-only v1.0</x:v>
      </x:c>
      <x:c r="L367" s="26" t="n">
        <x:f>RANK.EQ(J367,$J$5:$J$619,0)</x:f>
        <x:v>387</x:v>
      </x:c>
      <x:c r="M367" s="26" t="str">
        <x:f>IF(I367=0,"PROJECTION ONLY","EDITORIAL ADJUSTMENT")</x:f>
        <x:v>PROJECTION ONLY</x:v>
      </x:c>
    </x:row>
    <x:row r="368">
      <x:c r="A368" s="26" t="str">
        <x:v>WR</x:v>
      </x:c>
      <x:c r="B368" s="26" t="n">
        <x:v>196</x:v>
      </x:c>
      <x:c r="C368" s="26" t="str">
        <x:v>Ricky White III</x:v>
      </x:c>
      <x:c r="D368" s="26" t="str">
        <x:v>SEA</x:v>
      </x:c>
      <x:c r="E368" s="28" t="n">
        <x:v>2.8</x:v>
      </x:c>
      <x:c r="F368" s="28" t="str">
        <x:v>WR|196</x:v>
      </x:c>
      <x:c r="G368" s="28" t="n">
        <x:f>XLOOKUP(A368,'Assumptions'!$A$12:$A$15,'Assumptions'!$C$12:$C$15)</x:f>
        <x:v>110.6</x:v>
      </x:c>
      <x:c r="H368" s="28" t="n">
        <x:f>E368-G368</x:f>
        <x:v>-107.8</x:v>
      </x:c>
      <x:c r="I368" s="29" t="n">
        <x:v>0</x:v>
      </x:c>
      <x:c r="J368" s="28" t="n">
        <x:f>H368+I368</x:f>
        <x:v>-107.8</x:v>
      </x:c>
      <x:c r="K368" s="26" t="str">
        <x:v>Projection-only v1.0</x:v>
      </x:c>
      <x:c r="L368" s="26" t="n">
        <x:f>RANK.EQ(J368,$J$5:$J$619,0)</x:f>
        <x:v>387</x:v>
      </x:c>
      <x:c r="M368" s="26" t="str">
        <x:f>IF(I368=0,"PROJECTION ONLY","EDITORIAL ADJUSTMENT")</x:f>
        <x:v>PROJECTION ONLY</x:v>
      </x:c>
    </x:row>
    <x:row r="369">
      <x:c r="A369" s="26" t="str">
        <x:v>WR</x:v>
      </x:c>
      <x:c r="B369" s="26" t="n">
        <x:v>197</x:v>
      </x:c>
      <x:c r="C369" s="26" t="str">
        <x:v>Trent Sherfield</x:v>
      </x:c>
      <x:c r="D369" s="26" t="str">
        <x:v>BUF</x:v>
      </x:c>
      <x:c r="E369" s="28" t="n">
        <x:v>2.4</x:v>
      </x:c>
      <x:c r="F369" s="28" t="str">
        <x:v>WR|197</x:v>
      </x:c>
      <x:c r="G369" s="28" t="n">
        <x:f>XLOOKUP(A369,'Assumptions'!$A$12:$A$15,'Assumptions'!$C$12:$C$15)</x:f>
        <x:v>110.6</x:v>
      </x:c>
      <x:c r="H369" s="28" t="n">
        <x:f>E369-G369</x:f>
        <x:v>-108.19999999999999</x:v>
      </x:c>
      <x:c r="I369" s="29" t="n">
        <x:v>0</x:v>
      </x:c>
      <x:c r="J369" s="28" t="n">
        <x:f>H369+I369</x:f>
        <x:v>-108.19999999999999</x:v>
      </x:c>
      <x:c r="K369" s="26" t="str">
        <x:v>Projection-only v1.0</x:v>
      </x:c>
      <x:c r="L369" s="26" t="n">
        <x:f>RANK.EQ(J369,$J$5:$J$619,0)</x:f>
        <x:v>391</x:v>
      </x:c>
      <x:c r="M369" s="26" t="str">
        <x:f>IF(I369=0,"PROJECTION ONLY","EDITORIAL ADJUSTMENT")</x:f>
        <x:v>PROJECTION ONLY</x:v>
      </x:c>
    </x:row>
    <x:row r="370">
      <x:c r="A370" s="26" t="str">
        <x:v>WR</x:v>
      </x:c>
      <x:c r="B370" s="26" t="n">
        <x:v>198</x:v>
      </x:c>
      <x:c r="C370" s="26" t="str">
        <x:v>Emmanuel Henderson Jr.</x:v>
      </x:c>
      <x:c r="D370" s="26" t="str">
        <x:v>SEA</x:v>
      </x:c>
      <x:c r="E370" s="28" t="n">
        <x:v>2.5</x:v>
      </x:c>
      <x:c r="F370" s="28" t="str">
        <x:v>WR|198</x:v>
      </x:c>
      <x:c r="G370" s="28" t="n">
        <x:f>XLOOKUP(A370,'Assumptions'!$A$12:$A$15,'Assumptions'!$C$12:$C$15)</x:f>
        <x:v>110.6</x:v>
      </x:c>
      <x:c r="H370" s="28" t="n">
        <x:f>E370-G370</x:f>
        <x:v>-108.1</x:v>
      </x:c>
      <x:c r="I370" s="29" t="n">
        <x:v>0</x:v>
      </x:c>
      <x:c r="J370" s="28" t="n">
        <x:f>H370+I370</x:f>
        <x:v>-108.1</x:v>
      </x:c>
      <x:c r="K370" s="26" t="str">
        <x:v>Projection-only v1.0</x:v>
      </x:c>
      <x:c r="L370" s="26" t="n">
        <x:f>RANK.EQ(J370,$J$5:$J$619,0)</x:f>
        <x:v>390</x:v>
      </x:c>
      <x:c r="M370" s="26" t="str">
        <x:f>IF(I370=0,"PROJECTION ONLY","EDITORIAL ADJUSTMENT")</x:f>
        <x:v>PROJECTION ONLY</x:v>
      </x:c>
    </x:row>
    <x:row r="371">
      <x:c r="A371" s="26" t="str">
        <x:v>WR</x:v>
      </x:c>
      <x:c r="B371" s="26" t="n">
        <x:v>199</x:v>
      </x:c>
      <x:c r="C371" s="26" t="str">
        <x:v>Bryce Oliver</x:v>
      </x:c>
      <x:c r="D371" s="26" t="str">
        <x:v>TEN</x:v>
      </x:c>
      <x:c r="E371" s="28" t="n">
        <x:v>2.1</x:v>
      </x:c>
      <x:c r="F371" s="28" t="str">
        <x:v>WR|199</x:v>
      </x:c>
      <x:c r="G371" s="28" t="n">
        <x:f>XLOOKUP(A371,'Assumptions'!$A$12:$A$15,'Assumptions'!$C$12:$C$15)</x:f>
        <x:v>110.6</x:v>
      </x:c>
      <x:c r="H371" s="28" t="n">
        <x:f>E371-G371</x:f>
        <x:v>-108.5</x:v>
      </x:c>
      <x:c r="I371" s="29" t="n">
        <x:v>0</x:v>
      </x:c>
      <x:c r="J371" s="28" t="n">
        <x:f>H371+I371</x:f>
        <x:v>-108.5</x:v>
      </x:c>
      <x:c r="K371" s="26" t="str">
        <x:v>Projection-only v1.0</x:v>
      </x:c>
      <x:c r="L371" s="26" t="n">
        <x:f>RANK.EQ(J371,$J$5:$J$619,0)</x:f>
        <x:v>393</x:v>
      </x:c>
      <x:c r="M371" s="26" t="str">
        <x:f>IF(I371=0,"PROJECTION ONLY","EDITORIAL ADJUSTMENT")</x:f>
        <x:v>PROJECTION ONLY</x:v>
      </x:c>
    </x:row>
    <x:row r="372">
      <x:c r="A372" s="26" t="str">
        <x:v>WR</x:v>
      </x:c>
      <x:c r="B372" s="26" t="n">
        <x:v>200</x:v>
      </x:c>
      <x:c r="C372" s="26" t="str">
        <x:v>Jordan Watkins</x:v>
      </x:c>
      <x:c r="D372" s="26" t="str">
        <x:v>SF</x:v>
      </x:c>
      <x:c r="E372" s="28" t="n">
        <x:v>1.8</x:v>
      </x:c>
      <x:c r="F372" s="28" t="str">
        <x:v>WR|200</x:v>
      </x:c>
      <x:c r="G372" s="28" t="n">
        <x:f>XLOOKUP(A372,'Assumptions'!$A$12:$A$15,'Assumptions'!$C$12:$C$15)</x:f>
        <x:v>110.6</x:v>
      </x:c>
      <x:c r="H372" s="28" t="n">
        <x:f>E372-G372</x:f>
        <x:v>-108.8</x:v>
      </x:c>
      <x:c r="I372" s="29" t="n">
        <x:v>0</x:v>
      </x:c>
      <x:c r="J372" s="28" t="n">
        <x:f>H372+I372</x:f>
        <x:v>-108.8</x:v>
      </x:c>
      <x:c r="K372" s="26" t="str">
        <x:v>Projection-only v1.0</x:v>
      </x:c>
      <x:c r="L372" s="26" t="n">
        <x:f>RANK.EQ(J372,$J$5:$J$619,0)</x:f>
        <x:v>394</x:v>
      </x:c>
      <x:c r="M372" s="26" t="str">
        <x:f>IF(I372=0,"PROJECTION ONLY","EDITORIAL ADJUSTMENT")</x:f>
        <x:v>PROJECTION ONLY</x:v>
      </x:c>
    </x:row>
    <x:row r="373">
      <x:c r="A373" s="26" t="str">
        <x:v>WR</x:v>
      </x:c>
      <x:c r="B373" s="26" t="n">
        <x:v>201</x:v>
      </x:c>
      <x:c r="C373" s="26" t="str">
        <x:v>Kameron Johnson</x:v>
      </x:c>
      <x:c r="D373" s="26" t="str">
        <x:v>TB</x:v>
      </x:c>
      <x:c r="E373" s="28" t="n">
        <x:v>1.8</x:v>
      </x:c>
      <x:c r="F373" s="28" t="str">
        <x:v>WR|201</x:v>
      </x:c>
      <x:c r="G373" s="28" t="n">
        <x:f>XLOOKUP(A373,'Assumptions'!$A$12:$A$15,'Assumptions'!$C$12:$C$15)</x:f>
        <x:v>110.6</x:v>
      </x:c>
      <x:c r="H373" s="28" t="n">
        <x:f>E373-G373</x:f>
        <x:v>-108.8</x:v>
      </x:c>
      <x:c r="I373" s="29" t="n">
        <x:v>0</x:v>
      </x:c>
      <x:c r="J373" s="28" t="n">
        <x:f>H373+I373</x:f>
        <x:v>-108.8</x:v>
      </x:c>
      <x:c r="K373" s="26" t="str">
        <x:v>Projection-only v1.0</x:v>
      </x:c>
      <x:c r="L373" s="26" t="n">
        <x:f>RANK.EQ(J373,$J$5:$J$619,0)</x:f>
        <x:v>394</x:v>
      </x:c>
      <x:c r="M373" s="26" t="str">
        <x:f>IF(I373=0,"PROJECTION ONLY","EDITORIAL ADJUSTMENT")</x:f>
        <x:v>PROJECTION ONLY</x:v>
      </x:c>
    </x:row>
    <x:row r="374">
      <x:c r="A374" s="26" t="str">
        <x:v>WR</x:v>
      </x:c>
      <x:c r="B374" s="26" t="n">
        <x:v>202</x:v>
      </x:c>
      <x:c r="C374" s="26" t="str">
        <x:v>JuJu Smith-Schuster</x:v>
      </x:c>
      <x:c r="D374" s="26" t="str">
        <x:v>NYG</x:v>
      </x:c>
      <x:c r="E374" s="28" t="n">
        <x:v>1.3</x:v>
      </x:c>
      <x:c r="F374" s="28" t="str">
        <x:v>WR|202</x:v>
      </x:c>
      <x:c r="G374" s="28" t="n">
        <x:f>XLOOKUP(A374,'Assumptions'!$A$12:$A$15,'Assumptions'!$C$12:$C$15)</x:f>
        <x:v>110.6</x:v>
      </x:c>
      <x:c r="H374" s="28" t="n">
        <x:f>E374-G374</x:f>
        <x:v>-109.3</x:v>
      </x:c>
      <x:c r="I374" s="29" t="n">
        <x:v>0</x:v>
      </x:c>
      <x:c r="J374" s="28" t="n">
        <x:f>H374+I374</x:f>
        <x:v>-109.3</x:v>
      </x:c>
      <x:c r="K374" s="26" t="str">
        <x:v>Projection-only v1.0</x:v>
      </x:c>
      <x:c r="L374" s="26" t="n">
        <x:f>RANK.EQ(J374,$J$5:$J$619,0)</x:f>
        <x:v>396</x:v>
      </x:c>
      <x:c r="M374" s="26" t="str">
        <x:f>IF(I374=0,"PROJECTION ONLY","EDITORIAL ADJUSTMENT")</x:f>
        <x:v>PROJECTION ONLY</x:v>
      </x:c>
    </x:row>
    <x:row r="375">
      <x:c r="A375" s="26" t="str">
        <x:v>WR</x:v>
      </x:c>
      <x:c r="B375" s="26" t="n">
        <x:v>203</x:v>
      </x:c>
      <x:c r="C375" s="26" t="str">
        <x:v>A.T. Perry</x:v>
      </x:c>
      <x:c r="D375" s="26" t="str">
        <x:v>PIT</x:v>
      </x:c>
      <x:c r="E375" s="28" t="n">
        <x:v>0</x:v>
      </x:c>
      <x:c r="F375" s="28" t="str">
        <x:v>WR|203</x:v>
      </x:c>
      <x:c r="G375" s="28" t="n">
        <x:f>XLOOKUP(A375,'Assumptions'!$A$12:$A$15,'Assumptions'!$C$12:$C$15)</x:f>
        <x:v>110.6</x:v>
      </x:c>
      <x:c r="H375" s="28" t="n">
        <x:f>E375-G375</x:f>
        <x:v>-110.6</x:v>
      </x:c>
      <x:c r="I375" s="29" t="n">
        <x:v>0</x:v>
      </x:c>
      <x:c r="J375" s="28" t="n">
        <x:f>H375+I375</x:f>
        <x:v>-110.6</x:v>
      </x:c>
      <x:c r="K375" s="26" t="str">
        <x:v>Projection-only v1.0</x:v>
      </x:c>
      <x:c r="L375" s="26" t="n">
        <x:f>RANK.EQ(J375,$J$5:$J$619,0)</x:f>
        <x:v>400</x:v>
      </x:c>
      <x:c r="M375" s="26" t="str">
        <x:f>IF(I375=0,"PROJECTION ONLY","EDITORIAL ADJUSTMENT")</x:f>
        <x:v>PROJECTION ONLY</x:v>
      </x:c>
    </x:row>
    <x:row r="376">
      <x:c r="A376" s="26" t="str">
        <x:v>WR</x:v>
      </x:c>
      <x:c r="B376" s="26" t="n">
        <x:v>204</x:v>
      </x:c>
      <x:c r="C376" s="26" t="str">
        <x:v>Anthony Smith</x:v>
      </x:c>
      <x:c r="D376" s="26" t="str">
        <x:v>DAL</x:v>
      </x:c>
      <x:c r="E376" s="28" t="n">
        <x:v>0</x:v>
      </x:c>
      <x:c r="F376" s="28" t="str">
        <x:v>WR|204</x:v>
      </x:c>
      <x:c r="G376" s="28" t="n">
        <x:f>XLOOKUP(A376,'Assumptions'!$A$12:$A$15,'Assumptions'!$C$12:$C$15)</x:f>
        <x:v>110.6</x:v>
      </x:c>
      <x:c r="H376" s="28" t="n">
        <x:f>E376-G376</x:f>
        <x:v>-110.6</x:v>
      </x:c>
      <x:c r="I376" s="29" t="n">
        <x:v>0</x:v>
      </x:c>
      <x:c r="J376" s="28" t="n">
        <x:f>H376+I376</x:f>
        <x:v>-110.6</x:v>
      </x:c>
      <x:c r="K376" s="26" t="str">
        <x:v>Projection-only v1.0</x:v>
      </x:c>
      <x:c r="L376" s="26" t="n">
        <x:f>RANK.EQ(J376,$J$5:$J$619,0)</x:f>
        <x:v>400</x:v>
      </x:c>
      <x:c r="M376" s="26" t="str">
        <x:f>IF(I376=0,"PROJECTION ONLY","EDITORIAL ADJUSTMENT")</x:f>
        <x:v>PROJECTION ONLY</x:v>
      </x:c>
    </x:row>
    <x:row r="377">
      <x:c r="A377" s="26" t="str">
        <x:v>WR</x:v>
      </x:c>
      <x:c r="B377" s="26" t="n">
        <x:v>205</x:v>
      </x:c>
      <x:c r="C377" s="26" t="str">
        <x:v>Braxton Berrios</x:v>
      </x:c>
      <x:c r="D377" s="26" t="str">
        <x:v>NYG</x:v>
      </x:c>
      <x:c r="E377" s="28" t="n">
        <x:v>0</x:v>
      </x:c>
      <x:c r="F377" s="28" t="str">
        <x:v>WR|205</x:v>
      </x:c>
      <x:c r="G377" s="28" t="n">
        <x:f>XLOOKUP(A377,'Assumptions'!$A$12:$A$15,'Assumptions'!$C$12:$C$15)</x:f>
        <x:v>110.6</x:v>
      </x:c>
      <x:c r="H377" s="28" t="n">
        <x:f>E377-G377</x:f>
        <x:v>-110.6</x:v>
      </x:c>
      <x:c r="I377" s="29" t="n">
        <x:v>0</x:v>
      </x:c>
      <x:c r="J377" s="28" t="n">
        <x:f>H377+I377</x:f>
        <x:v>-110.6</x:v>
      </x:c>
      <x:c r="K377" s="26" t="str">
        <x:v>Projection-only v1.0</x:v>
      </x:c>
      <x:c r="L377" s="26" t="n">
        <x:f>RANK.EQ(J377,$J$5:$J$619,0)</x:f>
        <x:v>400</x:v>
      </x:c>
      <x:c r="M377" s="26" t="str">
        <x:f>IF(I377=0,"PROJECTION ONLY","EDITORIAL ADJUSTMENT")</x:f>
        <x:v>PROJECTION ONLY</x:v>
      </x:c>
    </x:row>
    <x:row r="378">
      <x:c r="A378" s="26" t="str">
        <x:v>WR</x:v>
      </x:c>
      <x:c r="B378" s="26" t="n">
        <x:v>206</x:v>
      </x:c>
      <x:c r="C378" s="26" t="str">
        <x:v>Britain Covey</x:v>
      </x:c>
      <x:c r="D378" s="26" t="str">
        <x:v>PHI</x:v>
      </x:c>
      <x:c r="E378" s="28" t="n">
        <x:v>0</x:v>
      </x:c>
      <x:c r="F378" s="28" t="str">
        <x:v>WR|206</x:v>
      </x:c>
      <x:c r="G378" s="28" t="n">
        <x:f>XLOOKUP(A378,'Assumptions'!$A$12:$A$15,'Assumptions'!$C$12:$C$15)</x:f>
        <x:v>110.6</x:v>
      </x:c>
      <x:c r="H378" s="28" t="n">
        <x:f>E378-G378</x:f>
        <x:v>-110.6</x:v>
      </x:c>
      <x:c r="I378" s="29" t="n">
        <x:v>0</x:v>
      </x:c>
      <x:c r="J378" s="28" t="n">
        <x:f>H378+I378</x:f>
        <x:v>-110.6</x:v>
      </x:c>
      <x:c r="K378" s="26" t="str">
        <x:v>Projection-only v1.0</x:v>
      </x:c>
      <x:c r="L378" s="26" t="n">
        <x:f>RANK.EQ(J378,$J$5:$J$619,0)</x:f>
        <x:v>400</x:v>
      </x:c>
      <x:c r="M378" s="26" t="str">
        <x:f>IF(I378=0,"PROJECTION ONLY","EDITORIAL ADJUSTMENT")</x:f>
        <x:v>PROJECTION ONLY</x:v>
      </x:c>
    </x:row>
    <x:row r="379">
      <x:c r="A379" s="26" t="str">
        <x:v>WR</x:v>
      </x:c>
      <x:c r="B379" s="26" t="n">
        <x:v>207</x:v>
      </x:c>
      <x:c r="C379" s="26" t="str">
        <x:v>Casey Washington</x:v>
      </x:c>
      <x:c r="D379" s="26" t="str">
        <x:v>CAR</x:v>
      </x:c>
      <x:c r="E379" s="28" t="n">
        <x:v>0</x:v>
      </x:c>
      <x:c r="F379" s="28" t="str">
        <x:v>WR|207</x:v>
      </x:c>
      <x:c r="G379" s="28" t="n">
        <x:f>XLOOKUP(A379,'Assumptions'!$A$12:$A$15,'Assumptions'!$C$12:$C$15)</x:f>
        <x:v>110.6</x:v>
      </x:c>
      <x:c r="H379" s="28" t="n">
        <x:f>E379-G379</x:f>
        <x:v>-110.6</x:v>
      </x:c>
      <x:c r="I379" s="29" t="n">
        <x:v>0</x:v>
      </x:c>
      <x:c r="J379" s="28" t="n">
        <x:f>H379+I379</x:f>
        <x:v>-110.6</x:v>
      </x:c>
      <x:c r="K379" s="26" t="str">
        <x:v>Projection-only v1.0</x:v>
      </x:c>
      <x:c r="L379" s="26" t="n">
        <x:f>RANK.EQ(J379,$J$5:$J$619,0)</x:f>
        <x:v>400</x:v>
      </x:c>
      <x:c r="M379" s="26" t="str">
        <x:f>IF(I379=0,"PROJECTION ONLY","EDITORIAL ADJUSTMENT")</x:f>
        <x:v>PROJECTION ONLY</x:v>
      </x:c>
    </x:row>
    <x:row r="380">
      <x:c r="A380" s="26" t="str">
        <x:v>WR</x:v>
      </x:c>
      <x:c r="B380" s="26" t="n">
        <x:v>208</x:v>
      </x:c>
      <x:c r="C380" s="26" t="str">
        <x:v>Cedrick Wilson Jr.</x:v>
      </x:c>
      <x:c r="D380" s="26" t="str">
        <x:v>DET</x:v>
      </x:c>
      <x:c r="E380" s="28" t="n">
        <x:v>0</x:v>
      </x:c>
      <x:c r="F380" s="28" t="str">
        <x:v>WR|208</x:v>
      </x:c>
      <x:c r="G380" s="28" t="n">
        <x:f>XLOOKUP(A380,'Assumptions'!$A$12:$A$15,'Assumptions'!$C$12:$C$15)</x:f>
        <x:v>110.6</x:v>
      </x:c>
      <x:c r="H380" s="28" t="n">
        <x:f>E380-G380</x:f>
        <x:v>-110.6</x:v>
      </x:c>
      <x:c r="I380" s="29" t="n">
        <x:v>0</x:v>
      </x:c>
      <x:c r="J380" s="28" t="n">
        <x:f>H380+I380</x:f>
        <x:v>-110.6</x:v>
      </x:c>
      <x:c r="K380" s="26" t="str">
        <x:v>Projection-only v1.0</x:v>
      </x:c>
      <x:c r="L380" s="26" t="n">
        <x:f>RANK.EQ(J380,$J$5:$J$619,0)</x:f>
        <x:v>400</x:v>
      </x:c>
      <x:c r="M380" s="26" t="str">
        <x:f>IF(I380=0,"PROJECTION ONLY","EDITORIAL ADJUSTMENT")</x:f>
        <x:v>PROJECTION ONLY</x:v>
      </x:c>
    </x:row>
    <x:row r="381">
      <x:c r="A381" s="26" t="str">
        <x:v>WR</x:v>
      </x:c>
      <x:c r="B381" s="26" t="n">
        <x:v>209</x:v>
      </x:c>
      <x:c r="C381" s="26" t="str">
        <x:v>Charlie Jones</x:v>
      </x:c>
      <x:c r="D381" s="26" t="str">
        <x:v>CIN</x:v>
      </x:c>
      <x:c r="E381" s="28" t="n">
        <x:v>0</x:v>
      </x:c>
      <x:c r="F381" s="28" t="str">
        <x:v>WR|209</x:v>
      </x:c>
      <x:c r="G381" s="28" t="n">
        <x:f>XLOOKUP(A381,'Assumptions'!$A$12:$A$15,'Assumptions'!$C$12:$C$15)</x:f>
        <x:v>110.6</x:v>
      </x:c>
      <x:c r="H381" s="28" t="n">
        <x:f>E381-G381</x:f>
        <x:v>-110.6</x:v>
      </x:c>
      <x:c r="I381" s="29" t="n">
        <x:v>0</x:v>
      </x:c>
      <x:c r="J381" s="28" t="n">
        <x:f>H381+I381</x:f>
        <x:v>-110.6</x:v>
      </x:c>
      <x:c r="K381" s="26" t="str">
        <x:v>Projection-only v1.0</x:v>
      </x:c>
      <x:c r="L381" s="26" t="n">
        <x:f>RANK.EQ(J381,$J$5:$J$619,0)</x:f>
        <x:v>400</x:v>
      </x:c>
      <x:c r="M381" s="26" t="str">
        <x:f>IF(I381=0,"PROJECTION ONLY","EDITORIAL ADJUSTMENT")</x:f>
        <x:v>PROJECTION ONLY</x:v>
      </x:c>
    </x:row>
    <x:row r="382">
      <x:c r="A382" s="26" t="str">
        <x:v>WR</x:v>
      </x:c>
      <x:c r="B382" s="26" t="n">
        <x:v>210</x:v>
      </x:c>
      <x:c r="C382" s="26" t="str">
        <x:v>Chris Brazzell II</x:v>
      </x:c>
      <x:c r="D382" s="26" t="str">
        <x:v>CAR</x:v>
      </x:c>
      <x:c r="E382" s="28" t="n">
        <x:v>0</x:v>
      </x:c>
      <x:c r="F382" s="28" t="str">
        <x:v>WR|210</x:v>
      </x:c>
      <x:c r="G382" s="28" t="n">
        <x:f>XLOOKUP(A382,'Assumptions'!$A$12:$A$15,'Assumptions'!$C$12:$C$15)</x:f>
        <x:v>110.6</x:v>
      </x:c>
      <x:c r="H382" s="28" t="n">
        <x:f>E382-G382</x:f>
        <x:v>-110.6</x:v>
      </x:c>
      <x:c r="I382" s="29" t="n">
        <x:v>0</x:v>
      </x:c>
      <x:c r="J382" s="28" t="n">
        <x:f>H382+I382</x:f>
        <x:v>-110.6</x:v>
      </x:c>
      <x:c r="K382" s="26" t="str">
        <x:v>Projection-only v1.0</x:v>
      </x:c>
      <x:c r="L382" s="26" t="n">
        <x:f>RANK.EQ(J382,$J$5:$J$619,0)</x:f>
        <x:v>400</x:v>
      </x:c>
      <x:c r="M382" s="26" t="str">
        <x:f>IF(I382=0,"PROJECTION ONLY","EDITORIAL ADJUSTMENT")</x:f>
        <x:v>PROJECTION ONLY</x:v>
      </x:c>
    </x:row>
    <x:row r="383">
      <x:c r="A383" s="26" t="str">
        <x:v>WR</x:v>
      </x:c>
      <x:c r="B383" s="26" t="n">
        <x:v>211</x:v>
      </x:c>
      <x:c r="C383" s="26" t="str">
        <x:v>DJ Turner</x:v>
      </x:c>
      <x:c r="D383" s="26" t="str">
        <x:v>HOU</x:v>
      </x:c>
      <x:c r="E383" s="28" t="n">
        <x:v>0</x:v>
      </x:c>
      <x:c r="F383" s="28" t="str">
        <x:v>WR|211</x:v>
      </x:c>
      <x:c r="G383" s="28" t="n">
        <x:f>XLOOKUP(A383,'Assumptions'!$A$12:$A$15,'Assumptions'!$C$12:$C$15)</x:f>
        <x:v>110.6</x:v>
      </x:c>
      <x:c r="H383" s="28" t="n">
        <x:f>E383-G383</x:f>
        <x:v>-110.6</x:v>
      </x:c>
      <x:c r="I383" s="29" t="n">
        <x:v>0</x:v>
      </x:c>
      <x:c r="J383" s="28" t="n">
        <x:f>H383+I383</x:f>
        <x:v>-110.6</x:v>
      </x:c>
      <x:c r="K383" s="26" t="str">
        <x:v>Projection-only v1.0</x:v>
      </x:c>
      <x:c r="L383" s="26" t="n">
        <x:f>RANK.EQ(J383,$J$5:$J$619,0)</x:f>
        <x:v>400</x:v>
      </x:c>
      <x:c r="M383" s="26" t="str">
        <x:f>IF(I383=0,"PROJECTION ONLY","EDITORIAL ADJUSTMENT")</x:f>
        <x:v>PROJECTION ONLY</x:v>
      </x:c>
    </x:row>
    <x:row r="384">
      <x:c r="A384" s="26" t="str">
        <x:v>WR</x:v>
      </x:c>
      <x:c r="B384" s="26" t="n">
        <x:v>212</x:v>
      </x:c>
      <x:c r="C384" s="26" t="str">
        <x:v>Danny Gray</x:v>
      </x:c>
      <x:c r="D384" s="26" t="str">
        <x:v>PHI</x:v>
      </x:c>
      <x:c r="E384" s="28" t="n">
        <x:v>0</x:v>
      </x:c>
      <x:c r="F384" s="28" t="str">
        <x:v>WR|212</x:v>
      </x:c>
      <x:c r="G384" s="28" t="n">
        <x:f>XLOOKUP(A384,'Assumptions'!$A$12:$A$15,'Assumptions'!$C$12:$C$15)</x:f>
        <x:v>110.6</x:v>
      </x:c>
      <x:c r="H384" s="28" t="n">
        <x:f>E384-G384</x:f>
        <x:v>-110.6</x:v>
      </x:c>
      <x:c r="I384" s="29" t="n">
        <x:v>0</x:v>
      </x:c>
      <x:c r="J384" s="28" t="n">
        <x:f>H384+I384</x:f>
        <x:v>-110.6</x:v>
      </x:c>
      <x:c r="K384" s="26" t="str">
        <x:v>Projection-only v1.0</x:v>
      </x:c>
      <x:c r="L384" s="26" t="n">
        <x:f>RANK.EQ(J384,$J$5:$J$619,0)</x:f>
        <x:v>400</x:v>
      </x:c>
      <x:c r="M384" s="26" t="str">
        <x:f>IF(I384=0,"PROJECTION ONLY","EDITORIAL ADJUSTMENT")</x:f>
        <x:v>PROJECTION ONLY</x:v>
      </x:c>
    </x:row>
    <x:row r="385">
      <x:c r="A385" s="26" t="str">
        <x:v>WR</x:v>
      </x:c>
      <x:c r="B385" s="26" t="n">
        <x:v>213</x:v>
      </x:c>
      <x:c r="C385" s="26" t="str">
        <x:v>Dante Pettis</x:v>
      </x:c>
      <x:c r="D385" s="26" t="str">
        <x:v>BUF</x:v>
      </x:c>
      <x:c r="E385" s="28" t="n">
        <x:v>0</x:v>
      </x:c>
      <x:c r="F385" s="28" t="str">
        <x:v>WR|213</x:v>
      </x:c>
      <x:c r="G385" s="28" t="n">
        <x:f>XLOOKUP(A385,'Assumptions'!$A$12:$A$15,'Assumptions'!$C$12:$C$15)</x:f>
        <x:v>110.6</x:v>
      </x:c>
      <x:c r="H385" s="28" t="n">
        <x:f>E385-G385</x:f>
        <x:v>-110.6</x:v>
      </x:c>
      <x:c r="I385" s="29" t="n">
        <x:v>0</x:v>
      </x:c>
      <x:c r="J385" s="28" t="n">
        <x:f>H385+I385</x:f>
        <x:v>-110.6</x:v>
      </x:c>
      <x:c r="K385" s="26" t="str">
        <x:v>Projection-only v1.0</x:v>
      </x:c>
      <x:c r="L385" s="26" t="n">
        <x:f>RANK.EQ(J385,$J$5:$J$619,0)</x:f>
        <x:v>400</x:v>
      </x:c>
      <x:c r="M385" s="26" t="str">
        <x:f>IF(I385=0,"PROJECTION ONLY","EDITORIAL ADJUSTMENT")</x:f>
        <x:v>PROJECTION ONLY</x:v>
      </x:c>
    </x:row>
    <x:row r="386">
      <x:c r="A386" s="26" t="str">
        <x:v>WR</x:v>
      </x:c>
      <x:c r="B386" s="26" t="n">
        <x:v>214</x:v>
      </x:c>
      <x:c r="C386" s="26" t="str">
        <x:v>Dareke Young</x:v>
      </x:c>
      <x:c r="D386" s="26" t="str">
        <x:v>LV</x:v>
      </x:c>
      <x:c r="E386" s="28" t="n">
        <x:v>0</x:v>
      </x:c>
      <x:c r="F386" s="28" t="str">
        <x:v>WR|214</x:v>
      </x:c>
      <x:c r="G386" s="28" t="n">
        <x:f>XLOOKUP(A386,'Assumptions'!$A$12:$A$15,'Assumptions'!$C$12:$C$15)</x:f>
        <x:v>110.6</x:v>
      </x:c>
      <x:c r="H386" s="28" t="n">
        <x:f>E386-G386</x:f>
        <x:v>-110.6</x:v>
      </x:c>
      <x:c r="I386" s="29" t="n">
        <x:v>0</x:v>
      </x:c>
      <x:c r="J386" s="28" t="n">
        <x:f>H386+I386</x:f>
        <x:v>-110.6</x:v>
      </x:c>
      <x:c r="K386" s="26" t="str">
        <x:v>Projection-only v1.0</x:v>
      </x:c>
      <x:c r="L386" s="26" t="n">
        <x:f>RANK.EQ(J386,$J$5:$J$619,0)</x:f>
        <x:v>400</x:v>
      </x:c>
      <x:c r="M386" s="26" t="str">
        <x:f>IF(I386=0,"PROJECTION ONLY","EDITORIAL ADJUSTMENT")</x:f>
        <x:v>PROJECTION ONLY</x:v>
      </x:c>
    </x:row>
    <x:row r="387">
      <x:c r="A387" s="26" t="str">
        <x:v>WR</x:v>
      </x:c>
      <x:c r="B387" s="26" t="n">
        <x:v>215</x:v>
      </x:c>
      <x:c r="C387" s="26" t="str">
        <x:v>Deven Thompkins</x:v>
      </x:c>
      <x:c r="D387" s="26" t="str">
        <x:v>LV</x:v>
      </x:c>
      <x:c r="E387" s="28" t="n">
        <x:v>0</x:v>
      </x:c>
      <x:c r="F387" s="28" t="str">
        <x:v>WR|215</x:v>
      </x:c>
      <x:c r="G387" s="28" t="n">
        <x:f>XLOOKUP(A387,'Assumptions'!$A$12:$A$15,'Assumptions'!$C$12:$C$15)</x:f>
        <x:v>110.6</x:v>
      </x:c>
      <x:c r="H387" s="28" t="n">
        <x:f>E387-G387</x:f>
        <x:v>-110.6</x:v>
      </x:c>
      <x:c r="I387" s="29" t="n">
        <x:v>0</x:v>
      </x:c>
      <x:c r="J387" s="28" t="n">
        <x:f>H387+I387</x:f>
        <x:v>-110.6</x:v>
      </x:c>
      <x:c r="K387" s="26" t="str">
        <x:v>Projection-only v1.0</x:v>
      </x:c>
      <x:c r="L387" s="26" t="n">
        <x:f>RANK.EQ(J387,$J$5:$J$619,0)</x:f>
        <x:v>400</x:v>
      </x:c>
      <x:c r="M387" s="26" t="str">
        <x:f>IF(I387=0,"PROJECTION ONLY","EDITORIAL ADJUSTMENT")</x:f>
        <x:v>PROJECTION ONLY</x:v>
      </x:c>
    </x:row>
    <x:row r="388">
      <x:c r="A388" s="26" t="str">
        <x:v>WR</x:v>
      </x:c>
      <x:c r="B388" s="26" t="n">
        <x:v>216</x:v>
      </x:c>
      <x:c r="C388" s="26" t="str">
        <x:v>Devin Duvernay</x:v>
      </x:c>
      <x:c r="D388" s="26" t="str">
        <x:v>ARI</x:v>
      </x:c>
      <x:c r="E388" s="28" t="n">
        <x:v>0</x:v>
      </x:c>
      <x:c r="F388" s="28" t="str">
        <x:v>WR|216</x:v>
      </x:c>
      <x:c r="G388" s="28" t="n">
        <x:f>XLOOKUP(A388,'Assumptions'!$A$12:$A$15,'Assumptions'!$C$12:$C$15)</x:f>
        <x:v>110.6</x:v>
      </x:c>
      <x:c r="H388" s="28" t="n">
        <x:f>E388-G388</x:f>
        <x:v>-110.6</x:v>
      </x:c>
      <x:c r="I388" s="29" t="n">
        <x:v>0</x:v>
      </x:c>
      <x:c r="J388" s="28" t="n">
        <x:f>H388+I388</x:f>
        <x:v>-110.6</x:v>
      </x:c>
      <x:c r="K388" s="26" t="str">
        <x:v>Projection-only v1.0</x:v>
      </x:c>
      <x:c r="L388" s="26" t="n">
        <x:f>RANK.EQ(J388,$J$5:$J$619,0)</x:f>
        <x:v>400</x:v>
      </x:c>
      <x:c r="M388" s="26" t="str">
        <x:f>IF(I388=0,"PROJECTION ONLY","EDITORIAL ADJUSTMENT")</x:f>
        <x:v>PROJECTION ONLY</x:v>
      </x:c>
    </x:row>
    <x:row r="389">
      <x:c r="A389" s="26" t="str">
        <x:v>WR</x:v>
      </x:c>
      <x:c r="B389" s="26" t="n">
        <x:v>217</x:v>
      </x:c>
      <x:c r="C389" s="26" t="str">
        <x:v>Dominic Lovett</x:v>
      </x:c>
      <x:c r="D389" s="26" t="str">
        <x:v>DET</x:v>
      </x:c>
      <x:c r="E389" s="28" t="n">
        <x:v>0</x:v>
      </x:c>
      <x:c r="F389" s="28" t="str">
        <x:v>WR|217</x:v>
      </x:c>
      <x:c r="G389" s="28" t="n">
        <x:f>XLOOKUP(A389,'Assumptions'!$A$12:$A$15,'Assumptions'!$C$12:$C$15)</x:f>
        <x:v>110.6</x:v>
      </x:c>
      <x:c r="H389" s="28" t="n">
        <x:f>E389-G389</x:f>
        <x:v>-110.6</x:v>
      </x:c>
      <x:c r="I389" s="29" t="n">
        <x:v>0</x:v>
      </x:c>
      <x:c r="J389" s="28" t="n">
        <x:f>H389+I389</x:f>
        <x:v>-110.6</x:v>
      </x:c>
      <x:c r="K389" s="26" t="str">
        <x:v>Projection-only v1.0</x:v>
      </x:c>
      <x:c r="L389" s="26" t="n">
        <x:f>RANK.EQ(J389,$J$5:$J$619,0)</x:f>
        <x:v>400</x:v>
      </x:c>
      <x:c r="M389" s="26" t="str">
        <x:f>IF(I389=0,"PROJECTION ONLY","EDITORIAL ADJUSTMENT")</x:f>
        <x:v>PROJECTION ONLY</x:v>
      </x:c>
    </x:row>
    <x:row r="390">
      <x:c r="A390" s="26" t="str">
        <x:v>WR</x:v>
      </x:c>
      <x:c r="B390" s="26" t="n">
        <x:v>218</x:v>
      </x:c>
      <x:c r="C390" s="26" t="str">
        <x:v>Efton Chism III</x:v>
      </x:c>
      <x:c r="D390" s="26" t="str">
        <x:v>NE</x:v>
      </x:c>
      <x:c r="E390" s="28" t="n">
        <x:v>0</x:v>
      </x:c>
      <x:c r="F390" s="28" t="str">
        <x:v>WR|218</x:v>
      </x:c>
      <x:c r="G390" s="28" t="n">
        <x:f>XLOOKUP(A390,'Assumptions'!$A$12:$A$15,'Assumptions'!$C$12:$C$15)</x:f>
        <x:v>110.6</x:v>
      </x:c>
      <x:c r="H390" s="28" t="n">
        <x:f>E390-G390</x:f>
        <x:v>-110.6</x:v>
      </x:c>
      <x:c r="I390" s="29" t="n">
        <x:v>0</x:v>
      </x:c>
      <x:c r="J390" s="28" t="n">
        <x:f>H390+I390</x:f>
        <x:v>-110.6</x:v>
      </x:c>
      <x:c r="K390" s="26" t="str">
        <x:v>Projection-only v1.0</x:v>
      </x:c>
      <x:c r="L390" s="26" t="n">
        <x:f>RANK.EQ(J390,$J$5:$J$619,0)</x:f>
        <x:v>400</x:v>
      </x:c>
      <x:c r="M390" s="26" t="str">
        <x:f>IF(I390=0,"PROJECTION ONLY","EDITORIAL ADJUSTMENT")</x:f>
        <x:v>PROJECTION ONLY</x:v>
      </x:c>
    </x:row>
    <x:row r="391">
      <x:c r="A391" s="26" t="str">
        <x:v>WR</x:v>
      </x:c>
      <x:c r="B391" s="26" t="n">
        <x:v>219</x:v>
      </x:c>
      <x:c r="C391" s="26" t="str">
        <x:v>Gage Larvadain</x:v>
      </x:c>
      <x:c r="D391" s="26" t="str">
        <x:v>CLE</x:v>
      </x:c>
      <x:c r="E391" s="28" t="n">
        <x:v>0</x:v>
      </x:c>
      <x:c r="F391" s="28" t="str">
        <x:v>WR|219</x:v>
      </x:c>
      <x:c r="G391" s="28" t="n">
        <x:f>XLOOKUP(A391,'Assumptions'!$A$12:$A$15,'Assumptions'!$C$12:$C$15)</x:f>
        <x:v>110.6</x:v>
      </x:c>
      <x:c r="H391" s="28" t="n">
        <x:f>E391-G391</x:f>
        <x:v>-110.6</x:v>
      </x:c>
      <x:c r="I391" s="29" t="n">
        <x:v>0</x:v>
      </x:c>
      <x:c r="J391" s="28" t="n">
        <x:f>H391+I391</x:f>
        <x:v>-110.6</x:v>
      </x:c>
      <x:c r="K391" s="26" t="str">
        <x:v>Projection-only v1.0</x:v>
      </x:c>
      <x:c r="L391" s="26" t="n">
        <x:f>RANK.EQ(J391,$J$5:$J$619,0)</x:f>
        <x:v>400</x:v>
      </x:c>
      <x:c r="M391" s="26" t="str">
        <x:f>IF(I391=0,"PROJECTION ONLY","EDITORIAL ADJUSTMENT")</x:f>
        <x:v>PROJECTION ONLY</x:v>
      </x:c>
    </x:row>
    <x:row r="392">
      <x:c r="A392" s="26" t="str">
        <x:v>WR</x:v>
      </x:c>
      <x:c r="B392" s="26" t="n">
        <x:v>220</x:v>
      </x:c>
      <x:c r="C392" s="26" t="str">
        <x:v>Gunner Olszewski</x:v>
      </x:c>
      <x:c r="D392" s="26" t="str">
        <x:v>NYG</x:v>
      </x:c>
      <x:c r="E392" s="28" t="n">
        <x:v>0</x:v>
      </x:c>
      <x:c r="F392" s="28" t="str">
        <x:v>WR|220</x:v>
      </x:c>
      <x:c r="G392" s="28" t="n">
        <x:f>XLOOKUP(A392,'Assumptions'!$A$12:$A$15,'Assumptions'!$C$12:$C$15)</x:f>
        <x:v>110.6</x:v>
      </x:c>
      <x:c r="H392" s="28" t="n">
        <x:f>E392-G392</x:f>
        <x:v>-110.6</x:v>
      </x:c>
      <x:c r="I392" s="29" t="n">
        <x:v>0</x:v>
      </x:c>
      <x:c r="J392" s="28" t="n">
        <x:f>H392+I392</x:f>
        <x:v>-110.6</x:v>
      </x:c>
      <x:c r="K392" s="26" t="str">
        <x:v>Projection-only v1.0</x:v>
      </x:c>
      <x:c r="L392" s="26" t="n">
        <x:f>RANK.EQ(J392,$J$5:$J$619,0)</x:f>
        <x:v>400</x:v>
      </x:c>
      <x:c r="M392" s="26" t="str">
        <x:f>IF(I392=0,"PROJECTION ONLY","EDITORIAL ADJUSTMENT")</x:f>
        <x:v>PROJECTION ONLY</x:v>
      </x:c>
    </x:row>
    <x:row r="393">
      <x:c r="A393" s="26" t="str">
        <x:v>WR</x:v>
      </x:c>
      <x:c r="B393" s="26" t="n">
        <x:v>221</x:v>
      </x:c>
      <x:c r="C393" s="26" t="str">
        <x:v>Ihmir Smith-Marsette</x:v>
      </x:c>
      <x:c r="D393" s="26" t="str">
        <x:v>ARI</x:v>
      </x:c>
      <x:c r="E393" s="28" t="n">
        <x:v>0</x:v>
      </x:c>
      <x:c r="F393" s="28" t="str">
        <x:v>WR|221</x:v>
      </x:c>
      <x:c r="G393" s="28" t="n">
        <x:f>XLOOKUP(A393,'Assumptions'!$A$12:$A$15,'Assumptions'!$C$12:$C$15)</x:f>
        <x:v>110.6</x:v>
      </x:c>
      <x:c r="H393" s="28" t="n">
        <x:f>E393-G393</x:f>
        <x:v>-110.6</x:v>
      </x:c>
      <x:c r="I393" s="29" t="n">
        <x:v>0</x:v>
      </x:c>
      <x:c r="J393" s="28" t="n">
        <x:f>H393+I393</x:f>
        <x:v>-110.6</x:v>
      </x:c>
      <x:c r="K393" s="26" t="str">
        <x:v>Projection-only v1.0</x:v>
      </x:c>
      <x:c r="L393" s="26" t="n">
        <x:f>RANK.EQ(J393,$J$5:$J$619,0)</x:f>
        <x:v>400</x:v>
      </x:c>
      <x:c r="M393" s="26" t="str">
        <x:f>IF(I393=0,"PROJECTION ONLY","EDITORIAL ADJUSTMENT")</x:f>
        <x:v>PROJECTION ONLY</x:v>
      </x:c>
    </x:row>
    <x:row r="394">
      <x:c r="A394" s="26" t="str">
        <x:v>WR</x:v>
      </x:c>
      <x:c r="B394" s="26" t="n">
        <x:v>222</x:v>
      </x:c>
      <x:c r="C394" s="26" t="str">
        <x:v>Irv Charles</x:v>
      </x:c>
      <x:c r="D394" s="26" t="str">
        <x:v>SEA</x:v>
      </x:c>
      <x:c r="E394" s="28" t="n">
        <x:v>0</x:v>
      </x:c>
      <x:c r="F394" s="28" t="str">
        <x:v>WR|222</x:v>
      </x:c>
      <x:c r="G394" s="28" t="n">
        <x:f>XLOOKUP(A394,'Assumptions'!$A$12:$A$15,'Assumptions'!$C$12:$C$15)</x:f>
        <x:v>110.6</x:v>
      </x:c>
      <x:c r="H394" s="28" t="n">
        <x:f>E394-G394</x:f>
        <x:v>-110.6</x:v>
      </x:c>
      <x:c r="I394" s="29" t="n">
        <x:v>0</x:v>
      </x:c>
      <x:c r="J394" s="28" t="n">
        <x:f>H394+I394</x:f>
        <x:v>-110.6</x:v>
      </x:c>
      <x:c r="K394" s="26" t="str">
        <x:v>Projection-only v1.0</x:v>
      </x:c>
      <x:c r="L394" s="26" t="n">
        <x:f>RANK.EQ(J394,$J$5:$J$619,0)</x:f>
        <x:v>400</x:v>
      </x:c>
      <x:c r="M394" s="26" t="str">
        <x:f>IF(I394=0,"PROJECTION ONLY","EDITORIAL ADJUSTMENT")</x:f>
        <x:v>PROJECTION ONLY</x:v>
      </x:c>
    </x:row>
    <x:row r="395">
      <x:c r="A395" s="26" t="str">
        <x:v>WR</x:v>
      </x:c>
      <x:c r="B395" s="26" t="n">
        <x:v>223</x:v>
      </x:c>
      <x:c r="C395" s="26" t="str">
        <x:v>Isaiah Neyor</x:v>
      </x:c>
      <x:c r="D395" s="26" t="str">
        <x:v>GB</x:v>
      </x:c>
      <x:c r="E395" s="28" t="n">
        <x:v>0</x:v>
      </x:c>
      <x:c r="F395" s="28" t="str">
        <x:v>WR|223</x:v>
      </x:c>
      <x:c r="G395" s="28" t="n">
        <x:f>XLOOKUP(A395,'Assumptions'!$A$12:$A$15,'Assumptions'!$C$12:$C$15)</x:f>
        <x:v>110.6</x:v>
      </x:c>
      <x:c r="H395" s="28" t="n">
        <x:f>E395-G395</x:f>
        <x:v>-110.6</x:v>
      </x:c>
      <x:c r="I395" s="29" t="n">
        <x:v>0</x:v>
      </x:c>
      <x:c r="J395" s="28" t="n">
        <x:f>H395+I395</x:f>
        <x:v>-110.6</x:v>
      </x:c>
      <x:c r="K395" s="26" t="str">
        <x:v>Projection-only v1.0</x:v>
      </x:c>
      <x:c r="L395" s="26" t="n">
        <x:f>RANK.EQ(J395,$J$5:$J$619,0)</x:f>
        <x:v>400</x:v>
      </x:c>
      <x:c r="M395" s="26" t="str">
        <x:f>IF(I395=0,"PROJECTION ONLY","EDITORIAL ADJUSTMENT")</x:f>
        <x:v>PROJECTION ONLY</x:v>
      </x:c>
    </x:row>
    <x:row r="396">
      <x:c r="A396" s="26" t="str">
        <x:v>WR</x:v>
      </x:c>
      <x:c r="B396" s="26" t="n">
        <x:v>224</x:v>
      </x:c>
      <x:c r="C396" s="26" t="str">
        <x:v>Jacob Cowing</x:v>
      </x:c>
      <x:c r="D396" s="26" t="str">
        <x:v>SF</x:v>
      </x:c>
      <x:c r="E396" s="28" t="n">
        <x:v>0</x:v>
      </x:c>
      <x:c r="F396" s="28" t="str">
        <x:v>WR|224</x:v>
      </x:c>
      <x:c r="G396" s="28" t="n">
        <x:f>XLOOKUP(A396,'Assumptions'!$A$12:$A$15,'Assumptions'!$C$12:$C$15)</x:f>
        <x:v>110.6</x:v>
      </x:c>
      <x:c r="H396" s="28" t="n">
        <x:f>E396-G396</x:f>
        <x:v>-110.6</x:v>
      </x:c>
      <x:c r="I396" s="29" t="n">
        <x:v>0</x:v>
      </x:c>
      <x:c r="J396" s="28" t="n">
        <x:f>H396+I396</x:f>
        <x:v>-110.6</x:v>
      </x:c>
      <x:c r="K396" s="26" t="str">
        <x:v>Projection-only v1.0</x:v>
      </x:c>
      <x:c r="L396" s="26" t="n">
        <x:f>RANK.EQ(J396,$J$5:$J$619,0)</x:f>
        <x:v>400</x:v>
      </x:c>
      <x:c r="M396" s="26" t="str">
        <x:f>IF(I396=0,"PROJECTION ONLY","EDITORIAL ADJUSTMENT")</x:f>
        <x:v>PROJECTION ONLY</x:v>
      </x:c>
    </x:row>
    <x:row r="397">
      <x:c r="A397" s="26" t="str">
        <x:v>WR</x:v>
      </x:c>
      <x:c r="B397" s="26" t="n">
        <x:v>225</x:v>
      </x:c>
      <x:c r="C397" s="26" t="str">
        <x:v>Jalen Brooks</x:v>
      </x:c>
      <x:c r="D397" s="26" t="str">
        <x:v>ARI</x:v>
      </x:c>
      <x:c r="E397" s="28" t="n">
        <x:v>0</x:v>
      </x:c>
      <x:c r="F397" s="28" t="str">
        <x:v>WR|225</x:v>
      </x:c>
      <x:c r="G397" s="28" t="n">
        <x:f>XLOOKUP(A397,'Assumptions'!$A$12:$A$15,'Assumptions'!$C$12:$C$15)</x:f>
        <x:v>110.6</x:v>
      </x:c>
      <x:c r="H397" s="28" t="n">
        <x:f>E397-G397</x:f>
        <x:v>-110.6</x:v>
      </x:c>
      <x:c r="I397" s="29" t="n">
        <x:v>0</x:v>
      </x:c>
      <x:c r="J397" s="28" t="n">
        <x:f>H397+I397</x:f>
        <x:v>-110.6</x:v>
      </x:c>
      <x:c r="K397" s="26" t="str">
        <x:v>Projection-only v1.0</x:v>
      </x:c>
      <x:c r="L397" s="26" t="n">
        <x:f>RANK.EQ(J397,$J$5:$J$619,0)</x:f>
        <x:v>400</x:v>
      </x:c>
      <x:c r="M397" s="26" t="str">
        <x:f>IF(I397=0,"PROJECTION ONLY","EDITORIAL ADJUSTMENT")</x:f>
        <x:v>PROJECTION ONLY</x:v>
      </x:c>
    </x:row>
    <x:row r="398">
      <x:c r="A398" s="26" t="str">
        <x:v>WR</x:v>
      </x:c>
      <x:c r="B398" s="26" t="n">
        <x:v>226</x:v>
      </x:c>
      <x:c r="C398" s="26" t="str">
        <x:v>Jalin Hyatt</x:v>
      </x:c>
      <x:c r="D398" s="26" t="str">
        <x:v>NYG</x:v>
      </x:c>
      <x:c r="E398" s="28" t="n">
        <x:v>0</x:v>
      </x:c>
      <x:c r="F398" s="28" t="str">
        <x:v>WR|226</x:v>
      </x:c>
      <x:c r="G398" s="28" t="n">
        <x:f>XLOOKUP(A398,'Assumptions'!$A$12:$A$15,'Assumptions'!$C$12:$C$15)</x:f>
        <x:v>110.6</x:v>
      </x:c>
      <x:c r="H398" s="28" t="n">
        <x:f>E398-G398</x:f>
        <x:v>-110.6</x:v>
      </x:c>
      <x:c r="I398" s="29" t="n">
        <x:v>0</x:v>
      </x:c>
      <x:c r="J398" s="28" t="n">
        <x:f>H398+I398</x:f>
        <x:v>-110.6</x:v>
      </x:c>
      <x:c r="K398" s="26" t="str">
        <x:v>Projection-only v1.0</x:v>
      </x:c>
      <x:c r="L398" s="26" t="n">
        <x:f>RANK.EQ(J398,$J$5:$J$619,0)</x:f>
        <x:v>400</x:v>
      </x:c>
      <x:c r="M398" s="26" t="str">
        <x:f>IF(I398=0,"PROJECTION ONLY","EDITORIAL ADJUSTMENT")</x:f>
        <x:v>PROJECTION ONLY</x:v>
      </x:c>
    </x:row>
    <x:row r="399">
      <x:c r="A399" s="26" t="str">
        <x:v>WR</x:v>
      </x:c>
      <x:c r="B399" s="26" t="n">
        <x:v>227</x:v>
      </x:c>
      <x:c r="C399" s="26" t="str">
        <x:v>Jamari Thrash</x:v>
      </x:c>
      <x:c r="D399" s="26" t="str">
        <x:v>CLE</x:v>
      </x:c>
      <x:c r="E399" s="28" t="n">
        <x:v>0</x:v>
      </x:c>
      <x:c r="F399" s="28" t="str">
        <x:v>WR|227</x:v>
      </x:c>
      <x:c r="G399" s="28" t="n">
        <x:f>XLOOKUP(A399,'Assumptions'!$A$12:$A$15,'Assumptions'!$C$12:$C$15)</x:f>
        <x:v>110.6</x:v>
      </x:c>
      <x:c r="H399" s="28" t="n">
        <x:f>E399-G399</x:f>
        <x:v>-110.6</x:v>
      </x:c>
      <x:c r="I399" s="29" t="n">
        <x:v>0</x:v>
      </x:c>
      <x:c r="J399" s="28" t="n">
        <x:f>H399+I399</x:f>
        <x:v>-110.6</x:v>
      </x:c>
      <x:c r="K399" s="26" t="str">
        <x:v>Projection-only v1.0</x:v>
      </x:c>
      <x:c r="L399" s="26" t="n">
        <x:f>RANK.EQ(J399,$J$5:$J$619,0)</x:f>
        <x:v>400</x:v>
      </x:c>
      <x:c r="M399" s="26" t="str">
        <x:f>IF(I399=0,"PROJECTION ONLY","EDITORIAL ADJUSTMENT")</x:f>
        <x:v>PROJECTION ONLY</x:v>
      </x:c>
    </x:row>
    <x:row r="400">
      <x:c r="A400" s="26" t="str">
        <x:v>WR</x:v>
      </x:c>
      <x:c r="B400" s="26" t="n">
        <x:v>228</x:v>
      </x:c>
      <x:c r="C400" s="26" t="str">
        <x:v>Jason Brownlee</x:v>
      </x:c>
      <x:c r="D400" s="26" t="str">
        <x:v>KC</x:v>
      </x:c>
      <x:c r="E400" s="28" t="n">
        <x:v>0</x:v>
      </x:c>
      <x:c r="F400" s="28" t="str">
        <x:v>WR|228</x:v>
      </x:c>
      <x:c r="G400" s="28" t="n">
        <x:f>XLOOKUP(A400,'Assumptions'!$A$12:$A$15,'Assumptions'!$C$12:$C$15)</x:f>
        <x:v>110.6</x:v>
      </x:c>
      <x:c r="H400" s="28" t="n">
        <x:f>E400-G400</x:f>
        <x:v>-110.6</x:v>
      </x:c>
      <x:c r="I400" s="29" t="n">
        <x:v>0</x:v>
      </x:c>
      <x:c r="J400" s="28" t="n">
        <x:f>H400+I400</x:f>
        <x:v>-110.6</x:v>
      </x:c>
      <x:c r="K400" s="26" t="str">
        <x:v>Projection-only v1.0</x:v>
      </x:c>
      <x:c r="L400" s="26" t="n">
        <x:f>RANK.EQ(J400,$J$5:$J$619,0)</x:f>
        <x:v>400</x:v>
      </x:c>
      <x:c r="M400" s="26" t="str">
        <x:f>IF(I400=0,"PROJECTION ONLY","EDITORIAL ADJUSTMENT")</x:f>
        <x:v>PROJECTION ONLY</x:v>
      </x:c>
    </x:row>
    <x:row r="401">
      <x:c r="A401" s="26" t="str">
        <x:v>WR</x:v>
      </x:c>
      <x:c r="B401" s="26" t="n">
        <x:v>229</x:v>
      </x:c>
      <x:c r="C401" s="26" t="str">
        <x:v>Jeshaun Jones</x:v>
      </x:c>
      <x:c r="D401" s="26" t="str">
        <x:v>MIN</x:v>
      </x:c>
      <x:c r="E401" s="28" t="n">
        <x:v>0</x:v>
      </x:c>
      <x:c r="F401" s="28" t="str">
        <x:v>WR|229</x:v>
      </x:c>
      <x:c r="G401" s="28" t="n">
        <x:f>XLOOKUP(A401,'Assumptions'!$A$12:$A$15,'Assumptions'!$C$12:$C$15)</x:f>
        <x:v>110.6</x:v>
      </x:c>
      <x:c r="H401" s="28" t="n">
        <x:f>E401-G401</x:f>
        <x:v>-110.6</x:v>
      </x:c>
      <x:c r="I401" s="29" t="n">
        <x:v>0</x:v>
      </x:c>
      <x:c r="J401" s="28" t="n">
        <x:f>H401+I401</x:f>
        <x:v>-110.6</x:v>
      </x:c>
      <x:c r="K401" s="26" t="str">
        <x:v>Projection-only v1.0</x:v>
      </x:c>
      <x:c r="L401" s="26" t="n">
        <x:f>RANK.EQ(J401,$J$5:$J$619,0)</x:f>
        <x:v>400</x:v>
      </x:c>
      <x:c r="M401" s="26" t="str">
        <x:f>IF(I401=0,"PROJECTION ONLY","EDITORIAL ADJUSTMENT")</x:f>
        <x:v>PROJECTION ONLY</x:v>
      </x:c>
    </x:row>
    <x:row r="402">
      <x:c r="A402" s="26" t="str">
        <x:v>WR</x:v>
      </x:c>
      <x:c r="B402" s="26" t="n">
        <x:v>230</x:v>
      </x:c>
      <x:c r="C402" s="26" t="str">
        <x:v>Johnny Wilson</x:v>
      </x:c>
      <x:c r="D402" s="26" t="str">
        <x:v>PHI</x:v>
      </x:c>
      <x:c r="E402" s="28" t="n">
        <x:v>0</x:v>
      </x:c>
      <x:c r="F402" s="28" t="str">
        <x:v>WR|230</x:v>
      </x:c>
      <x:c r="G402" s="28" t="n">
        <x:f>XLOOKUP(A402,'Assumptions'!$A$12:$A$15,'Assumptions'!$C$12:$C$15)</x:f>
        <x:v>110.6</x:v>
      </x:c>
      <x:c r="H402" s="28" t="n">
        <x:f>E402-G402</x:f>
        <x:v>-110.6</x:v>
      </x:c>
      <x:c r="I402" s="29" t="n">
        <x:v>0</x:v>
      </x:c>
      <x:c r="J402" s="28" t="n">
        <x:f>H402+I402</x:f>
        <x:v>-110.6</x:v>
      </x:c>
      <x:c r="K402" s="26" t="str">
        <x:v>Projection-only v1.0</x:v>
      </x:c>
      <x:c r="L402" s="26" t="n">
        <x:f>RANK.EQ(J402,$J$5:$J$619,0)</x:f>
        <x:v>400</x:v>
      </x:c>
      <x:c r="M402" s="26" t="str">
        <x:f>IF(I402=0,"PROJECTION ONLY","EDITORIAL ADJUSTMENT")</x:f>
        <x:v>PROJECTION ONLY</x:v>
      </x:c>
    </x:row>
    <x:row r="403">
      <x:c r="A403" s="26" t="str">
        <x:v>WR</x:v>
      </x:c>
      <x:c r="B403" s="26" t="n">
        <x:v>231</x:v>
      </x:c>
      <x:c r="C403" s="26" t="str">
        <x:v>Josh Cameron</x:v>
      </x:c>
      <x:c r="D403" s="26" t="str">
        <x:v>JAX</x:v>
      </x:c>
      <x:c r="E403" s="28" t="n">
        <x:v>0</x:v>
      </x:c>
      <x:c r="F403" s="28" t="str">
        <x:v>WR|231</x:v>
      </x:c>
      <x:c r="G403" s="28" t="n">
        <x:f>XLOOKUP(A403,'Assumptions'!$A$12:$A$15,'Assumptions'!$C$12:$C$15)</x:f>
        <x:v>110.6</x:v>
      </x:c>
      <x:c r="H403" s="28" t="n">
        <x:f>E403-G403</x:f>
        <x:v>-110.6</x:v>
      </x:c>
      <x:c r="I403" s="29" t="n">
        <x:v>0</x:v>
      </x:c>
      <x:c r="J403" s="28" t="n">
        <x:f>H403+I403</x:f>
        <x:v>-110.6</x:v>
      </x:c>
      <x:c r="K403" s="26" t="str">
        <x:v>Projection-only v1.0</x:v>
      </x:c>
      <x:c r="L403" s="26" t="n">
        <x:f>RANK.EQ(J403,$J$5:$J$619,0)</x:f>
        <x:v>400</x:v>
      </x:c>
      <x:c r="M403" s="26" t="str">
        <x:f>IF(I403=0,"PROJECTION ONLY","EDITORIAL ADJUSTMENT")</x:f>
        <x:v>PROJECTION ONLY</x:v>
      </x:c>
    </x:row>
    <x:row r="404">
      <x:c r="A404" s="26" t="str">
        <x:v>WR</x:v>
      </x:c>
      <x:c r="B404" s="26" t="n">
        <x:v>232</x:v>
      </x:c>
      <x:c r="C404" s="26" t="str">
        <x:v>Justin Shorter</x:v>
      </x:c>
      <x:c r="D404" s="26" t="str">
        <x:v>LV</x:v>
      </x:c>
      <x:c r="E404" s="28" t="n">
        <x:v>0</x:v>
      </x:c>
      <x:c r="F404" s="28" t="str">
        <x:v>WR|232</x:v>
      </x:c>
      <x:c r="G404" s="28" t="n">
        <x:f>XLOOKUP(A404,'Assumptions'!$A$12:$A$15,'Assumptions'!$C$12:$C$15)</x:f>
        <x:v>110.6</x:v>
      </x:c>
      <x:c r="H404" s="28" t="n">
        <x:f>E404-G404</x:f>
        <x:v>-110.6</x:v>
      </x:c>
      <x:c r="I404" s="29" t="n">
        <x:v>0</x:v>
      </x:c>
      <x:c r="J404" s="28" t="n">
        <x:f>H404+I404</x:f>
        <x:v>-110.6</x:v>
      </x:c>
      <x:c r="K404" s="26" t="str">
        <x:v>Projection-only v1.0</x:v>
      </x:c>
      <x:c r="L404" s="26" t="n">
        <x:f>RANK.EQ(J404,$J$5:$J$619,0)</x:f>
        <x:v>400</x:v>
      </x:c>
      <x:c r="M404" s="26" t="str">
        <x:f>IF(I404=0,"PROJECTION ONLY","EDITORIAL ADJUSTMENT")</x:f>
        <x:v>PROJECTION ONLY</x:v>
      </x:c>
    </x:row>
    <x:row r="405">
      <x:c r="A405" s="26" t="str">
        <x:v>WR</x:v>
      </x:c>
      <x:c r="B405" s="26" t="n">
        <x:v>233</x:v>
      </x:c>
      <x:c r="C405" s="26" t="str">
        <x:v>K.J. Osborn</x:v>
      </x:c>
      <x:c r="D405" s="26" t="str">
        <x:v>TEN</x:v>
      </x:c>
      <x:c r="E405" s="28" t="n">
        <x:v>0</x:v>
      </x:c>
      <x:c r="F405" s="28" t="str">
        <x:v>WR|233</x:v>
      </x:c>
      <x:c r="G405" s="28" t="n">
        <x:f>XLOOKUP(A405,'Assumptions'!$A$12:$A$15,'Assumptions'!$C$12:$C$15)</x:f>
        <x:v>110.6</x:v>
      </x:c>
      <x:c r="H405" s="28" t="n">
        <x:f>E405-G405</x:f>
        <x:v>-110.6</x:v>
      </x:c>
      <x:c r="I405" s="29" t="n">
        <x:v>0</x:v>
      </x:c>
      <x:c r="J405" s="28" t="n">
        <x:f>H405+I405</x:f>
        <x:v>-110.6</x:v>
      </x:c>
      <x:c r="K405" s="26" t="str">
        <x:v>Projection-only v1.0</x:v>
      </x:c>
      <x:c r="L405" s="26" t="n">
        <x:f>RANK.EQ(J405,$J$5:$J$619,0)</x:f>
        <x:v>400</x:v>
      </x:c>
      <x:c r="M405" s="26" t="str">
        <x:f>IF(I405=0,"PROJECTION ONLY","EDITORIAL ADJUSTMENT")</x:f>
        <x:v>PROJECTION ONLY</x:v>
      </x:c>
    </x:row>
    <x:row r="406">
      <x:c r="A406" s="26" t="str">
        <x:v>WR</x:v>
      </x:c>
      <x:c r="B406" s="26" t="n">
        <x:v>234</x:v>
      </x:c>
      <x:c r="C406" s="26" t="str">
        <x:v>Ke'Shawn Williams</x:v>
      </x:c>
      <x:c r="D406" s="26" t="str">
        <x:v>CIN</x:v>
      </x:c>
      <x:c r="E406" s="28" t="n">
        <x:v>0</x:v>
      </x:c>
      <x:c r="F406" s="28" t="str">
        <x:v>WR|234</x:v>
      </x:c>
      <x:c r="G406" s="28" t="n">
        <x:f>XLOOKUP(A406,'Assumptions'!$A$12:$A$15,'Assumptions'!$C$12:$C$15)</x:f>
        <x:v>110.6</x:v>
      </x:c>
      <x:c r="H406" s="28" t="n">
        <x:f>E406-G406</x:f>
        <x:v>-110.6</x:v>
      </x:c>
      <x:c r="I406" s="29" t="n">
        <x:v>0</x:v>
      </x:c>
      <x:c r="J406" s="28" t="n">
        <x:f>H406+I406</x:f>
        <x:v>-110.6</x:v>
      </x:c>
      <x:c r="K406" s="26" t="str">
        <x:v>Projection-only v1.0</x:v>
      </x:c>
      <x:c r="L406" s="26" t="n">
        <x:f>RANK.EQ(J406,$J$5:$J$619,0)</x:f>
        <x:v>400</x:v>
      </x:c>
      <x:c r="M406" s="26" t="str">
        <x:f>IF(I406=0,"PROJECTION ONLY","EDITORIAL ADJUSTMENT")</x:f>
        <x:v>PROJECTION ONLY</x:v>
      </x:c>
    </x:row>
    <x:row r="407">
      <x:c r="A407" s="26" t="str">
        <x:v>WR</x:v>
      </x:c>
      <x:c r="B407" s="26" t="n">
        <x:v>235</x:v>
      </x:c>
      <x:c r="C407" s="26" t="str">
        <x:v>Kendrick Law</x:v>
      </x:c>
      <x:c r="D407" s="26" t="str">
        <x:v>DET</x:v>
      </x:c>
      <x:c r="E407" s="28" t="n">
        <x:v>0</x:v>
      </x:c>
      <x:c r="F407" s="28" t="str">
        <x:v>WR|235</x:v>
      </x:c>
      <x:c r="G407" s="28" t="n">
        <x:f>XLOOKUP(A407,'Assumptions'!$A$12:$A$15,'Assumptions'!$C$12:$C$15)</x:f>
        <x:v>110.6</x:v>
      </x:c>
      <x:c r="H407" s="28" t="n">
        <x:f>E407-G407</x:f>
        <x:v>-110.6</x:v>
      </x:c>
      <x:c r="I407" s="29" t="n">
        <x:v>0</x:v>
      </x:c>
      <x:c r="J407" s="28" t="n">
        <x:f>H407+I407</x:f>
        <x:v>-110.6</x:v>
      </x:c>
      <x:c r="K407" s="26" t="str">
        <x:v>Projection-only v1.0</x:v>
      </x:c>
      <x:c r="L407" s="26" t="n">
        <x:f>RANK.EQ(J407,$J$5:$J$619,0)</x:f>
        <x:v>400</x:v>
      </x:c>
      <x:c r="M407" s="26" t="str">
        <x:f>IF(I407=0,"PROJECTION ONLY","EDITORIAL ADJUSTMENT")</x:f>
        <x:v>PROJECTION ONLY</x:v>
      </x:c>
    </x:row>
    <x:row r="408">
      <x:c r="A408" s="26" t="str">
        <x:v>WR</x:v>
      </x:c>
      <x:c r="B408" s="26" t="n">
        <x:v>236</x:v>
      </x:c>
      <x:c r="C408" s="26" t="str">
        <x:v>LaJohntay Wester</x:v>
      </x:c>
      <x:c r="D408" s="26" t="str">
        <x:v>BAL</x:v>
      </x:c>
      <x:c r="E408" s="28" t="n">
        <x:v>0</x:v>
      </x:c>
      <x:c r="F408" s="28" t="str">
        <x:v>WR|236</x:v>
      </x:c>
      <x:c r="G408" s="28" t="n">
        <x:f>XLOOKUP(A408,'Assumptions'!$A$12:$A$15,'Assumptions'!$C$12:$C$15)</x:f>
        <x:v>110.6</x:v>
      </x:c>
      <x:c r="H408" s="28" t="n">
        <x:f>E408-G408</x:f>
        <x:v>-110.6</x:v>
      </x:c>
      <x:c r="I408" s="29" t="n">
        <x:v>0</x:v>
      </x:c>
      <x:c r="J408" s="28" t="n">
        <x:f>H408+I408</x:f>
        <x:v>-110.6</x:v>
      </x:c>
      <x:c r="K408" s="26" t="str">
        <x:v>Projection-only v1.0</x:v>
      </x:c>
      <x:c r="L408" s="26" t="n">
        <x:f>RANK.EQ(J408,$J$5:$J$619,0)</x:f>
        <x:v>400</x:v>
      </x:c>
      <x:c r="M408" s="26" t="str">
        <x:f>IF(I408=0,"PROJECTION ONLY","EDITORIAL ADJUSTMENT")</x:f>
        <x:v>PROJECTION ONLY</x:v>
      </x:c>
    </x:row>
    <x:row r="409">
      <x:c r="A409" s="26" t="str">
        <x:v>WR</x:v>
      </x:c>
      <x:c r="B409" s="26" t="n">
        <x:v>237</x:v>
      </x:c>
      <x:c r="C409" s="26" t="str">
        <x:v>Laquon Treadwell</x:v>
      </x:c>
      <x:c r="D409" s="26" t="str">
        <x:v>IND</x:v>
      </x:c>
      <x:c r="E409" s="28" t="n">
        <x:v>0</x:v>
      </x:c>
      <x:c r="F409" s="28" t="str">
        <x:v>WR|237</x:v>
      </x:c>
      <x:c r="G409" s="28" t="n">
        <x:f>XLOOKUP(A409,'Assumptions'!$A$12:$A$15,'Assumptions'!$C$12:$C$15)</x:f>
        <x:v>110.6</x:v>
      </x:c>
      <x:c r="H409" s="28" t="n">
        <x:f>E409-G409</x:f>
        <x:v>-110.6</x:v>
      </x:c>
      <x:c r="I409" s="29" t="n">
        <x:v>0</x:v>
      </x:c>
      <x:c r="J409" s="28" t="n">
        <x:f>H409+I409</x:f>
        <x:v>-110.6</x:v>
      </x:c>
      <x:c r="K409" s="26" t="str">
        <x:v>Projection-only v1.0</x:v>
      </x:c>
      <x:c r="L409" s="26" t="n">
        <x:f>RANK.EQ(J409,$J$5:$J$619,0)</x:f>
        <x:v>400</x:v>
      </x:c>
      <x:c r="M409" s="26" t="str">
        <x:f>IF(I409=0,"PROJECTION ONLY","EDITORIAL ADJUSTMENT")</x:f>
        <x:v>PROJECTION ONLY</x:v>
      </x:c>
    </x:row>
    <x:row r="410">
      <x:c r="A410" s="26" t="str">
        <x:v>WR</x:v>
      </x:c>
      <x:c r="B410" s="26" t="n">
        <x:v>238</x:v>
      </x:c>
      <x:c r="C410" s="26" t="str">
        <x:v>Lewis Bond</x:v>
      </x:c>
      <x:c r="D410" s="26" t="str">
        <x:v>HOU</x:v>
      </x:c>
      <x:c r="E410" s="28" t="n">
        <x:v>0</x:v>
      </x:c>
      <x:c r="F410" s="28" t="str">
        <x:v>WR|238</x:v>
      </x:c>
      <x:c r="G410" s="28" t="n">
        <x:f>XLOOKUP(A410,'Assumptions'!$A$12:$A$15,'Assumptions'!$C$12:$C$15)</x:f>
        <x:v>110.6</x:v>
      </x:c>
      <x:c r="H410" s="28" t="n">
        <x:f>E410-G410</x:f>
        <x:v>-110.6</x:v>
      </x:c>
      <x:c r="I410" s="29" t="n">
        <x:v>0</x:v>
      </x:c>
      <x:c r="J410" s="28" t="n">
        <x:f>H410+I410</x:f>
        <x:v>-110.6</x:v>
      </x:c>
      <x:c r="K410" s="26" t="str">
        <x:v>Projection-only v1.0</x:v>
      </x:c>
      <x:c r="L410" s="26" t="n">
        <x:f>RANK.EQ(J410,$J$5:$J$619,0)</x:f>
        <x:v>400</x:v>
      </x:c>
      <x:c r="M410" s="26" t="str">
        <x:f>IF(I410=0,"PROJECTION ONLY","EDITORIAL ADJUSTMENT")</x:f>
        <x:v>PROJECTION ONLY</x:v>
      </x:c>
    </x:row>
    <x:row r="411">
      <x:c r="A411" s="26" t="str">
        <x:v>WR</x:v>
      </x:c>
      <x:c r="B411" s="26" t="n">
        <x:v>239</x:v>
      </x:c>
      <x:c r="C411" s="26" t="str">
        <x:v>Mason Kinsey</x:v>
      </x:c>
      <x:c r="D411" s="26" t="str">
        <x:v>TEN</x:v>
      </x:c>
      <x:c r="E411" s="28" t="n">
        <x:v>0</x:v>
      </x:c>
      <x:c r="F411" s="28" t="str">
        <x:v>WR|239</x:v>
      </x:c>
      <x:c r="G411" s="28" t="n">
        <x:f>XLOOKUP(A411,'Assumptions'!$A$12:$A$15,'Assumptions'!$C$12:$C$15)</x:f>
        <x:v>110.6</x:v>
      </x:c>
      <x:c r="H411" s="28" t="n">
        <x:f>E411-G411</x:f>
        <x:v>-110.6</x:v>
      </x:c>
      <x:c r="I411" s="29" t="n">
        <x:v>0</x:v>
      </x:c>
      <x:c r="J411" s="28" t="n">
        <x:f>H411+I411</x:f>
        <x:v>-110.6</x:v>
      </x:c>
      <x:c r="K411" s="26" t="str">
        <x:v>Projection-only v1.0</x:v>
      </x:c>
      <x:c r="L411" s="26" t="n">
        <x:f>RANK.EQ(J411,$J$5:$J$619,0)</x:f>
        <x:v>400</x:v>
      </x:c>
      <x:c r="M411" s="26" t="str">
        <x:f>IF(I411=0,"PROJECTION ONLY","EDITORIAL ADJUSTMENT")</x:f>
        <x:v>PROJECTION ONLY</x:v>
      </x:c>
    </x:row>
    <x:row r="412">
      <x:c r="A412" s="26" t="str">
        <x:v>WR</x:v>
      </x:c>
      <x:c r="B412" s="26" t="n">
        <x:v>240</x:v>
      </x:c>
      <x:c r="C412" s="26" t="str">
        <x:v>Mecole Hardman Jr.</x:v>
      </x:c>
      <x:c r="D412" s="26" t="str">
        <x:v>BUF</x:v>
      </x:c>
      <x:c r="E412" s="28" t="n">
        <x:v>0</x:v>
      </x:c>
      <x:c r="F412" s="28" t="str">
        <x:v>WR|240</x:v>
      </x:c>
      <x:c r="G412" s="28" t="n">
        <x:f>XLOOKUP(A412,'Assumptions'!$A$12:$A$15,'Assumptions'!$C$12:$C$15)</x:f>
        <x:v>110.6</x:v>
      </x:c>
      <x:c r="H412" s="28" t="n">
        <x:f>E412-G412</x:f>
        <x:v>-110.6</x:v>
      </x:c>
      <x:c r="I412" s="29" t="n">
        <x:v>0</x:v>
      </x:c>
      <x:c r="J412" s="28" t="n">
        <x:f>H412+I412</x:f>
        <x:v>-110.6</x:v>
      </x:c>
      <x:c r="K412" s="26" t="str">
        <x:v>Projection-only v1.0</x:v>
      </x:c>
      <x:c r="L412" s="26" t="n">
        <x:f>RANK.EQ(J412,$J$5:$J$619,0)</x:f>
        <x:v>400</x:v>
      </x:c>
      <x:c r="M412" s="26" t="str">
        <x:f>IF(I412=0,"PROJECTION ONLY","EDITORIAL ADJUSTMENT")</x:f>
        <x:v>PROJECTION ONLY</x:v>
      </x:c>
    </x:row>
    <x:row r="413">
      <x:c r="A413" s="26" t="str">
        <x:v>WR</x:v>
      </x:c>
      <x:c r="B413" s="26" t="n">
        <x:v>241</x:v>
      </x:c>
      <x:c r="C413" s="26" t="str">
        <x:v>Michael Bandy</x:v>
      </x:c>
      <x:c r="D413" s="26" t="str">
        <x:v>DEN</x:v>
      </x:c>
      <x:c r="E413" s="28" t="n">
        <x:v>0</x:v>
      </x:c>
      <x:c r="F413" s="28" t="str">
        <x:v>WR|241</x:v>
      </x:c>
      <x:c r="G413" s="28" t="n">
        <x:f>XLOOKUP(A413,'Assumptions'!$A$12:$A$15,'Assumptions'!$C$12:$C$15)</x:f>
        <x:v>110.6</x:v>
      </x:c>
      <x:c r="H413" s="28" t="n">
        <x:f>E413-G413</x:f>
        <x:v>-110.6</x:v>
      </x:c>
      <x:c r="I413" s="29" t="n">
        <x:v>0</x:v>
      </x:c>
      <x:c r="J413" s="28" t="n">
        <x:f>H413+I413</x:f>
        <x:v>-110.6</x:v>
      </x:c>
      <x:c r="K413" s="26" t="str">
        <x:v>Projection-only v1.0</x:v>
      </x:c>
      <x:c r="L413" s="26" t="n">
        <x:f>RANK.EQ(J413,$J$5:$J$619,0)</x:f>
        <x:v>400</x:v>
      </x:c>
      <x:c r="M413" s="26" t="str">
        <x:f>IF(I413=0,"PROJECTION ONLY","EDITORIAL ADJUSTMENT")</x:f>
        <x:v>PROJECTION ONLY</x:v>
      </x:c>
    </x:row>
    <x:row r="414">
      <x:c r="A414" s="26" t="str">
        <x:v>WR</x:v>
      </x:c>
      <x:c r="B414" s="26" t="n">
        <x:v>242</x:v>
      </x:c>
      <x:c r="C414" s="26" t="str">
        <x:v>Myles Price</x:v>
      </x:c>
      <x:c r="D414" s="26" t="str">
        <x:v>MIN</x:v>
      </x:c>
      <x:c r="E414" s="28" t="n">
        <x:v>0</x:v>
      </x:c>
      <x:c r="F414" s="28" t="str">
        <x:v>WR|242</x:v>
      </x:c>
      <x:c r="G414" s="28" t="n">
        <x:f>XLOOKUP(A414,'Assumptions'!$A$12:$A$15,'Assumptions'!$C$12:$C$15)</x:f>
        <x:v>110.6</x:v>
      </x:c>
      <x:c r="H414" s="28" t="n">
        <x:f>E414-G414</x:f>
        <x:v>-110.6</x:v>
      </x:c>
      <x:c r="I414" s="29" t="n">
        <x:v>0</x:v>
      </x:c>
      <x:c r="J414" s="28" t="n">
        <x:f>H414+I414</x:f>
        <x:v>-110.6</x:v>
      </x:c>
      <x:c r="K414" s="26" t="str">
        <x:v>Projection-only v1.0</x:v>
      </x:c>
      <x:c r="L414" s="26" t="n">
        <x:f>RANK.EQ(J414,$J$5:$J$619,0)</x:f>
        <x:v>400</x:v>
      </x:c>
      <x:c r="M414" s="26" t="str">
        <x:f>IF(I414=0,"PROJECTION ONLY","EDITORIAL ADJUSTMENT")</x:f>
        <x:v>PROJECTION ONLY</x:v>
      </x:c>
    </x:row>
    <x:row r="415">
      <x:c r="A415" s="26" t="str">
        <x:v>WR</x:v>
      </x:c>
      <x:c r="B415" s="26" t="n">
        <x:v>243</x:v>
      </x:c>
      <x:c r="C415" s="26" t="str">
        <x:v>Nick Nash</x:v>
      </x:c>
      <x:c r="D415" s="26" t="str">
        <x:v>WAS</x:v>
      </x:c>
      <x:c r="E415" s="28" t="n">
        <x:v>0</x:v>
      </x:c>
      <x:c r="F415" s="28" t="str">
        <x:v>WR|243</x:v>
      </x:c>
      <x:c r="G415" s="28" t="n">
        <x:f>XLOOKUP(A415,'Assumptions'!$A$12:$A$15,'Assumptions'!$C$12:$C$15)</x:f>
        <x:v>110.6</x:v>
      </x:c>
      <x:c r="H415" s="28" t="n">
        <x:f>E415-G415</x:f>
        <x:v>-110.6</x:v>
      </x:c>
      <x:c r="I415" s="29" t="n">
        <x:v>0</x:v>
      </x:c>
      <x:c r="J415" s="28" t="n">
        <x:f>H415+I415</x:f>
        <x:v>-110.6</x:v>
      </x:c>
      <x:c r="K415" s="26" t="str">
        <x:v>Projection-only v1.0</x:v>
      </x:c>
      <x:c r="L415" s="26" t="n">
        <x:f>RANK.EQ(J415,$J$5:$J$619,0)</x:f>
        <x:v>400</x:v>
      </x:c>
      <x:c r="M415" s="26" t="str">
        <x:f>IF(I415=0,"PROJECTION ONLY","EDITORIAL ADJUSTMENT")</x:f>
        <x:v>PROJECTION ONLY</x:v>
      </x:c>
    </x:row>
    <x:row r="416">
      <x:c r="A416" s="26" t="str">
        <x:v>WR</x:v>
      </x:c>
      <x:c r="B416" s="26" t="n">
        <x:v>244</x:v>
      </x:c>
      <x:c r="C416" s="26" t="str">
        <x:v>Nikko Remigio</x:v>
      </x:c>
      <x:c r="D416" s="26" t="str">
        <x:v>KC</x:v>
      </x:c>
      <x:c r="E416" s="28" t="n">
        <x:v>0</x:v>
      </x:c>
      <x:c r="F416" s="28" t="str">
        <x:v>WR|244</x:v>
      </x:c>
      <x:c r="G416" s="28" t="n">
        <x:f>XLOOKUP(A416,'Assumptions'!$A$12:$A$15,'Assumptions'!$C$12:$C$15)</x:f>
        <x:v>110.6</x:v>
      </x:c>
      <x:c r="H416" s="28" t="n">
        <x:f>E416-G416</x:f>
        <x:v>-110.6</x:v>
      </x:c>
      <x:c r="I416" s="29" t="n">
        <x:v>0</x:v>
      </x:c>
      <x:c r="J416" s="28" t="n">
        <x:f>H416+I416</x:f>
        <x:v>-110.6</x:v>
      </x:c>
      <x:c r="K416" s="26" t="str">
        <x:v>Projection-only v1.0</x:v>
      </x:c>
      <x:c r="L416" s="26" t="n">
        <x:f>RANK.EQ(J416,$J$5:$J$619,0)</x:f>
        <x:v>400</x:v>
      </x:c>
      <x:c r="M416" s="26" t="str">
        <x:f>IF(I416=0,"PROJECTION ONLY","EDITORIAL ADJUSTMENT")</x:f>
        <x:v>PROJECTION ONLY</x:v>
      </x:c>
    </x:row>
    <x:row r="417">
      <x:c r="A417" s="26" t="str">
        <x:v>WR</x:v>
      </x:c>
      <x:c r="B417" s="26" t="n">
        <x:v>245</x:v>
      </x:c>
      <x:c r="C417" s="26" t="str">
        <x:v>Ricky Pearsall</x:v>
      </x:c>
      <x:c r="D417" s="26" t="str">
        <x:v>SF</x:v>
      </x:c>
      <x:c r="E417" s="28" t="n">
        <x:v>0</x:v>
      </x:c>
      <x:c r="F417" s="28" t="str">
        <x:v>WR|245</x:v>
      </x:c>
      <x:c r="G417" s="28" t="n">
        <x:f>XLOOKUP(A417,'Assumptions'!$A$12:$A$15,'Assumptions'!$C$12:$C$15)</x:f>
        <x:v>110.6</x:v>
      </x:c>
      <x:c r="H417" s="28" t="n">
        <x:f>E417-G417</x:f>
        <x:v>-110.6</x:v>
      </x:c>
      <x:c r="I417" s="29" t="n">
        <x:v>0</x:v>
      </x:c>
      <x:c r="J417" s="28" t="n">
        <x:f>H417+I417</x:f>
        <x:v>-110.6</x:v>
      </x:c>
      <x:c r="K417" s="26" t="str">
        <x:v>Projection-only v1.0</x:v>
      </x:c>
      <x:c r="L417" s="26" t="n">
        <x:f>RANK.EQ(J417,$J$5:$J$619,0)</x:f>
        <x:v>400</x:v>
      </x:c>
      <x:c r="M417" s="26" t="str">
        <x:f>IF(I417=0,"PROJECTION ONLY","EDITORIAL ADJUSTMENT")</x:f>
        <x:v>PROJECTION ONLY</x:v>
      </x:c>
    </x:row>
    <x:row r="418">
      <x:c r="A418" s="26" t="str">
        <x:v>WR</x:v>
      </x:c>
      <x:c r="B418" s="26" t="n">
        <x:v>246</x:v>
      </x:c>
      <x:c r="C418" s="26" t="str">
        <x:v>Ronnie Bell</x:v>
      </x:c>
      <x:c r="D418" s="26" t="str">
        <x:v>NO</x:v>
      </x:c>
      <x:c r="E418" s="28" t="n">
        <x:v>0</x:v>
      </x:c>
      <x:c r="F418" s="28" t="str">
        <x:v>WR|246</x:v>
      </x:c>
      <x:c r="G418" s="28" t="n">
        <x:f>XLOOKUP(A418,'Assumptions'!$A$12:$A$15,'Assumptions'!$C$12:$C$15)</x:f>
        <x:v>110.6</x:v>
      </x:c>
      <x:c r="H418" s="28" t="n">
        <x:f>E418-G418</x:f>
        <x:v>-110.6</x:v>
      </x:c>
      <x:c r="I418" s="29" t="n">
        <x:v>0</x:v>
      </x:c>
      <x:c r="J418" s="28" t="n">
        <x:f>H418+I418</x:f>
        <x:v>-110.6</x:v>
      </x:c>
      <x:c r="K418" s="26" t="str">
        <x:v>Projection-only v1.0</x:v>
      </x:c>
      <x:c r="L418" s="26" t="n">
        <x:f>RANK.EQ(J418,$J$5:$J$619,0)</x:f>
        <x:v>400</x:v>
      </x:c>
      <x:c r="M418" s="26" t="str">
        <x:f>IF(I418=0,"PROJECTION ONLY","EDITORIAL ADJUSTMENT")</x:f>
        <x:v>PROJECTION ONLY</x:v>
      </x:c>
    </x:row>
    <x:row r="419">
      <x:c r="A419" s="26" t="str">
        <x:v>WR</x:v>
      </x:c>
      <x:c r="B419" s="26" t="n">
        <x:v>247</x:v>
      </x:c>
      <x:c r="C419" s="26" t="str">
        <x:v>Ryan Miller</x:v>
      </x:c>
      <x:c r="D419" s="26" t="str">
        <x:v>NYG</x:v>
      </x:c>
      <x:c r="E419" s="28" t="n">
        <x:v>0</x:v>
      </x:c>
      <x:c r="F419" s="28" t="str">
        <x:v>WR|247</x:v>
      </x:c>
      <x:c r="G419" s="28" t="n">
        <x:f>XLOOKUP(A419,'Assumptions'!$A$12:$A$15,'Assumptions'!$C$12:$C$15)</x:f>
        <x:v>110.6</x:v>
      </x:c>
      <x:c r="H419" s="28" t="n">
        <x:f>E419-G419</x:f>
        <x:v>-110.6</x:v>
      </x:c>
      <x:c r="I419" s="29" t="n">
        <x:v>0</x:v>
      </x:c>
      <x:c r="J419" s="28" t="n">
        <x:f>H419+I419</x:f>
        <x:v>-110.6</x:v>
      </x:c>
      <x:c r="K419" s="26" t="str">
        <x:v>Projection-only v1.0</x:v>
      </x:c>
      <x:c r="L419" s="26" t="n">
        <x:f>RANK.EQ(J419,$J$5:$J$619,0)</x:f>
        <x:v>400</x:v>
      </x:c>
      <x:c r="M419" s="26" t="str">
        <x:f>IF(I419=0,"PROJECTION ONLY","EDITORIAL ADJUSTMENT")</x:f>
        <x:v>PROJECTION ONLY</x:v>
      </x:c>
    </x:row>
    <x:row r="420">
      <x:c r="A420" s="26" t="str">
        <x:v>WR</x:v>
      </x:c>
      <x:c r="B420" s="26" t="n">
        <x:v>248</x:v>
      </x:c>
      <x:c r="C420" s="26" t="str">
        <x:v>Scotty Miller</x:v>
      </x:c>
      <x:c r="D420" s="26" t="str">
        <x:v>CHI</x:v>
      </x:c>
      <x:c r="E420" s="28" t="n">
        <x:v>0</x:v>
      </x:c>
      <x:c r="F420" s="28" t="str">
        <x:v>WR|248</x:v>
      </x:c>
      <x:c r="G420" s="28" t="n">
        <x:f>XLOOKUP(A420,'Assumptions'!$A$12:$A$15,'Assumptions'!$C$12:$C$15)</x:f>
        <x:v>110.6</x:v>
      </x:c>
      <x:c r="H420" s="28" t="n">
        <x:f>E420-G420</x:f>
        <x:v>-110.6</x:v>
      </x:c>
      <x:c r="I420" s="29" t="n">
        <x:v>0</x:v>
      </x:c>
      <x:c r="J420" s="28" t="n">
        <x:f>H420+I420</x:f>
        <x:v>-110.6</x:v>
      </x:c>
      <x:c r="K420" s="26" t="str">
        <x:v>Projection-only v1.0</x:v>
      </x:c>
      <x:c r="L420" s="26" t="n">
        <x:f>RANK.EQ(J420,$J$5:$J$619,0)</x:f>
        <x:v>400</x:v>
      </x:c>
      <x:c r="M420" s="26" t="str">
        <x:f>IF(I420=0,"PROJECTION ONLY","EDITORIAL ADJUSTMENT")</x:f>
        <x:v>PROJECTION ONLY</x:v>
      </x:c>
    </x:row>
    <x:row r="421">
      <x:c r="A421" s="26" t="str">
        <x:v>WR</x:v>
      </x:c>
      <x:c r="B421" s="26" t="n">
        <x:v>249</x:v>
      </x:c>
      <x:c r="C421" s="26" t="str">
        <x:v>Skyy Moore</x:v>
      </x:c>
      <x:c r="D421" s="26" t="str">
        <x:v>GB</x:v>
      </x:c>
      <x:c r="E421" s="28" t="n">
        <x:v>0</x:v>
      </x:c>
      <x:c r="F421" s="28" t="str">
        <x:v>WR|249</x:v>
      </x:c>
      <x:c r="G421" s="28" t="n">
        <x:f>XLOOKUP(A421,'Assumptions'!$A$12:$A$15,'Assumptions'!$C$12:$C$15)</x:f>
        <x:v>110.6</x:v>
      </x:c>
      <x:c r="H421" s="28" t="n">
        <x:f>E421-G421</x:f>
        <x:v>-110.6</x:v>
      </x:c>
      <x:c r="I421" s="29" t="n">
        <x:v>0</x:v>
      </x:c>
      <x:c r="J421" s="28" t="n">
        <x:f>H421+I421</x:f>
        <x:v>-110.6</x:v>
      </x:c>
      <x:c r="K421" s="26" t="str">
        <x:v>Projection-only v1.0</x:v>
      </x:c>
      <x:c r="L421" s="26" t="n">
        <x:f>RANK.EQ(J421,$J$5:$J$619,0)</x:f>
        <x:v>400</x:v>
      </x:c>
      <x:c r="M421" s="26" t="str">
        <x:f>IF(I421=0,"PROJECTION ONLY","EDITORIAL ADJUSTMENT")</x:f>
        <x:v>PROJECTION ONLY</x:v>
      </x:c>
    </x:row>
    <x:row r="422">
      <x:c r="A422" s="26" t="str">
        <x:v>WR</x:v>
      </x:c>
      <x:c r="B422" s="26" t="n">
        <x:v>250</x:v>
      </x:c>
      <x:c r="C422" s="26" t="str">
        <x:v>Tahj Washington</x:v>
      </x:c>
      <x:c r="D422" s="26" t="str">
        <x:v>MIA</x:v>
      </x:c>
      <x:c r="E422" s="28" t="n">
        <x:v>0</x:v>
      </x:c>
      <x:c r="F422" s="28" t="str">
        <x:v>WR|250</x:v>
      </x:c>
      <x:c r="G422" s="28" t="n">
        <x:f>XLOOKUP(A422,'Assumptions'!$A$12:$A$15,'Assumptions'!$C$12:$C$15)</x:f>
        <x:v>110.6</x:v>
      </x:c>
      <x:c r="H422" s="28" t="n">
        <x:f>E422-G422</x:f>
        <x:v>-110.6</x:v>
      </x:c>
      <x:c r="I422" s="29" t="n">
        <x:v>0</x:v>
      </x:c>
      <x:c r="J422" s="28" t="n">
        <x:f>H422+I422</x:f>
        <x:v>-110.6</x:v>
      </x:c>
      <x:c r="K422" s="26" t="str">
        <x:v>Projection-only v1.0</x:v>
      </x:c>
      <x:c r="L422" s="26" t="n">
        <x:f>RANK.EQ(J422,$J$5:$J$619,0)</x:f>
        <x:v>400</x:v>
      </x:c>
      <x:c r="M422" s="26" t="str">
        <x:f>IF(I422=0,"PROJECTION ONLY","EDITORIAL ADJUSTMENT")</x:f>
        <x:v>PROJECTION ONLY</x:v>
      </x:c>
    </x:row>
    <x:row r="423">
      <x:c r="A423" s="26" t="str">
        <x:v>WR</x:v>
      </x:c>
      <x:c r="B423" s="26" t="n">
        <x:v>251</x:v>
      </x:c>
      <x:c r="C423" s="26" t="str">
        <x:v>Terrace Marshall Jr.</x:v>
      </x:c>
      <x:c r="D423" s="26" t="str">
        <x:v>MIA</x:v>
      </x:c>
      <x:c r="E423" s="28" t="n">
        <x:v>0</x:v>
      </x:c>
      <x:c r="F423" s="28" t="str">
        <x:v>WR|251</x:v>
      </x:c>
      <x:c r="G423" s="28" t="n">
        <x:f>XLOOKUP(A423,'Assumptions'!$A$12:$A$15,'Assumptions'!$C$12:$C$15)</x:f>
        <x:v>110.6</x:v>
      </x:c>
      <x:c r="H423" s="28" t="n">
        <x:f>E423-G423</x:f>
        <x:v>-110.6</x:v>
      </x:c>
      <x:c r="I423" s="29" t="n">
        <x:v>0</x:v>
      </x:c>
      <x:c r="J423" s="28" t="n">
        <x:f>H423+I423</x:f>
        <x:v>-110.6</x:v>
      </x:c>
      <x:c r="K423" s="26" t="str">
        <x:v>Projection-only v1.0</x:v>
      </x:c>
      <x:c r="L423" s="26" t="n">
        <x:f>RANK.EQ(J423,$J$5:$J$619,0)</x:f>
        <x:v>400</x:v>
      </x:c>
      <x:c r="M423" s="26" t="str">
        <x:f>IF(I423=0,"PROJECTION ONLY","EDITORIAL ADJUSTMENT")</x:f>
        <x:v>PROJECTION ONLY</x:v>
      </x:c>
    </x:row>
    <x:row r="424">
      <x:c r="A424" s="26" t="str">
        <x:v>WR</x:v>
      </x:c>
      <x:c r="B424" s="26" t="n">
        <x:v>252</x:v>
      </x:c>
      <x:c r="C424" s="26" t="str">
        <x:v>Tim Jones</x:v>
      </x:c>
      <x:c r="D424" s="26" t="str">
        <x:v>JAX</x:v>
      </x:c>
      <x:c r="E424" s="28" t="n">
        <x:v>0</x:v>
      </x:c>
      <x:c r="F424" s="28" t="str">
        <x:v>WR|252</x:v>
      </x:c>
      <x:c r="G424" s="28" t="n">
        <x:f>XLOOKUP(A424,'Assumptions'!$A$12:$A$15,'Assumptions'!$C$12:$C$15)</x:f>
        <x:v>110.6</x:v>
      </x:c>
      <x:c r="H424" s="28" t="n">
        <x:f>E424-G424</x:f>
        <x:v>-110.6</x:v>
      </x:c>
      <x:c r="I424" s="29" t="n">
        <x:v>0</x:v>
      </x:c>
      <x:c r="J424" s="28" t="n">
        <x:f>H424+I424</x:f>
        <x:v>-110.6</x:v>
      </x:c>
      <x:c r="K424" s="26" t="str">
        <x:v>Projection-only v1.0</x:v>
      </x:c>
      <x:c r="L424" s="26" t="n">
        <x:f>RANK.EQ(J424,$J$5:$J$619,0)</x:f>
        <x:v>400</x:v>
      </x:c>
      <x:c r="M424" s="26" t="str">
        <x:f>IF(I424=0,"PROJECTION ONLY","EDITORIAL ADJUSTMENT")</x:f>
        <x:v>PROJECTION ONLY</x:v>
      </x:c>
    </x:row>
    <x:row r="425">
      <x:c r="A425" s="26" t="str">
        <x:v>WR</x:v>
      </x:c>
      <x:c r="B425" s="26" t="n">
        <x:v>253</x:v>
      </x:c>
      <x:c r="C425" s="26" t="str">
        <x:v>Trey Palmer</x:v>
      </x:c>
      <x:c r="D425" s="26" t="str">
        <x:v>NO</x:v>
      </x:c>
      <x:c r="E425" s="28" t="n">
        <x:v>0</x:v>
      </x:c>
      <x:c r="F425" s="28" t="str">
        <x:v>WR|253</x:v>
      </x:c>
      <x:c r="G425" s="28" t="n">
        <x:f>XLOOKUP(A425,'Assumptions'!$A$12:$A$15,'Assumptions'!$C$12:$C$15)</x:f>
        <x:v>110.6</x:v>
      </x:c>
      <x:c r="H425" s="28" t="n">
        <x:f>E425-G425</x:f>
        <x:v>-110.6</x:v>
      </x:c>
      <x:c r="I425" s="29" t="n">
        <x:v>0</x:v>
      </x:c>
      <x:c r="J425" s="28" t="n">
        <x:f>H425+I425</x:f>
        <x:v>-110.6</x:v>
      </x:c>
      <x:c r="K425" s="26" t="str">
        <x:v>Projection-only v1.0</x:v>
      </x:c>
      <x:c r="L425" s="26" t="n">
        <x:f>RANK.EQ(J425,$J$5:$J$619,0)</x:f>
        <x:v>400</x:v>
      </x:c>
      <x:c r="M425" s="26" t="str">
        <x:f>IF(I425=0,"PROJECTION ONLY","EDITORIAL ADJUSTMENT")</x:f>
        <x:v>PROJECTION ONLY</x:v>
      </x:c>
    </x:row>
    <x:row r="426">
      <x:c r="A426" s="26" t="str">
        <x:v>WR</x:v>
      </x:c>
      <x:c r="B426" s="26" t="n">
        <x:v>254</x:v>
      </x:c>
      <x:c r="C426" s="26" t="str">
        <x:v>Tyler Scott</x:v>
      </x:c>
      <x:c r="D426" s="26" t="str">
        <x:v>LAR</x:v>
      </x:c>
      <x:c r="E426" s="28" t="n">
        <x:v>0</x:v>
      </x:c>
      <x:c r="F426" s="28" t="str">
        <x:v>WR|254</x:v>
      </x:c>
      <x:c r="G426" s="28" t="n">
        <x:f>XLOOKUP(A426,'Assumptions'!$A$12:$A$15,'Assumptions'!$C$12:$C$15)</x:f>
        <x:v>110.6</x:v>
      </x:c>
      <x:c r="H426" s="28" t="n">
        <x:f>E426-G426</x:f>
        <x:v>-110.6</x:v>
      </x:c>
      <x:c r="I426" s="29" t="n">
        <x:v>0</x:v>
      </x:c>
      <x:c r="J426" s="28" t="n">
        <x:f>H426+I426</x:f>
        <x:v>-110.6</x:v>
      </x:c>
      <x:c r="K426" s="26" t="str">
        <x:v>Projection-only v1.0</x:v>
      </x:c>
      <x:c r="L426" s="26" t="n">
        <x:f>RANK.EQ(J426,$J$5:$J$619,0)</x:f>
        <x:v>400</x:v>
      </x:c>
      <x:c r="M426" s="26" t="str">
        <x:f>IF(I426=0,"PROJECTION ONLY","EDITORIAL ADJUSTMENT")</x:f>
        <x:v>PROJECTION ONLY</x:v>
      </x:c>
    </x:row>
    <x:row r="427">
      <x:c r="A427" s="26" t="str">
        <x:v>WR</x:v>
      </x:c>
      <x:c r="B427" s="26" t="n">
        <x:v>255</x:v>
      </x:c>
      <x:c r="C427" s="26" t="str">
        <x:v>Xavier Gipson</x:v>
      </x:c>
      <x:c r="D427" s="26" t="str">
        <x:v>NYG</x:v>
      </x:c>
      <x:c r="E427" s="28" t="n">
        <x:v>0</x:v>
      </x:c>
      <x:c r="F427" s="28" t="str">
        <x:v>WR|255</x:v>
      </x:c>
      <x:c r="G427" s="28" t="n">
        <x:f>XLOOKUP(A427,'Assumptions'!$A$12:$A$15,'Assumptions'!$C$12:$C$15)</x:f>
        <x:v>110.6</x:v>
      </x:c>
      <x:c r="H427" s="28" t="n">
        <x:f>E427-G427</x:f>
        <x:v>-110.6</x:v>
      </x:c>
      <x:c r="I427" s="29" t="n">
        <x:v>0</x:v>
      </x:c>
      <x:c r="J427" s="28" t="n">
        <x:f>H427+I427</x:f>
        <x:v>-110.6</x:v>
      </x:c>
      <x:c r="K427" s="26" t="str">
        <x:v>Projection-only v1.0</x:v>
      </x:c>
      <x:c r="L427" s="26" t="n">
        <x:f>RANK.EQ(J427,$J$5:$J$619,0)</x:f>
        <x:v>400</x:v>
      </x:c>
      <x:c r="M427" s="26" t="str">
        <x:f>IF(I427=0,"PROJECTION ONLY","EDITORIAL ADJUSTMENT")</x:f>
        <x:v>PROJECTION ONLY</x:v>
      </x:c>
    </x:row>
    <x:row r="428">
      <x:c r="A428" s="26" t="str">
        <x:v>TE</x:v>
      </x:c>
      <x:c r="B428" s="26" t="n">
        <x:v>1</x:v>
      </x:c>
      <x:c r="C428" s="26" t="str">
        <x:v>Trey McBride</x:v>
      </x:c>
      <x:c r="D428" s="26" t="str">
        <x:v>ARI</x:v>
      </x:c>
      <x:c r="E428" s="28" t="n">
        <x:v>202.7</x:v>
      </x:c>
      <x:c r="F428" s="28" t="str">
        <x:v>TE|1</x:v>
      </x:c>
      <x:c r="G428" s="28" t="n">
        <x:f>XLOOKUP(A428,'Assumptions'!$A$12:$A$15,'Assumptions'!$C$12:$C$15)</x:f>
        <x:v>143.3</x:v>
      </x:c>
      <x:c r="H428" s="28" t="n">
        <x:f>E428-G428</x:f>
        <x:v>59.39999999999998</x:v>
      </x:c>
      <x:c r="I428" s="29" t="n">
        <x:v>0</x:v>
      </x:c>
      <x:c r="J428" s="28" t="n">
        <x:f>H428+I428</x:f>
        <x:v>59.39999999999998</x:v>
      </x:c>
      <x:c r="K428" s="26" t="str">
        <x:v>Projection-only v1.0</x:v>
      </x:c>
      <x:c r="L428" s="26" t="n">
        <x:f>RANK.EQ(J428,$J$5:$J$619,0)</x:f>
        <x:v>48</x:v>
      </x:c>
      <x:c r="M428" s="26" t="str">
        <x:f>IF(I428=0,"PROJECTION ONLY","EDITORIAL ADJUSTMENT")</x:f>
        <x:v>PROJECTION ONLY</x:v>
      </x:c>
    </x:row>
    <x:row r="429">
      <x:c r="A429" s="26" t="str">
        <x:v>TE</x:v>
      </x:c>
      <x:c r="B429" s="26" t="n">
        <x:v>2</x:v>
      </x:c>
      <x:c r="C429" s="26" t="str">
        <x:v>Brock Bowers</x:v>
      </x:c>
      <x:c r="D429" s="26" t="str">
        <x:v>LV</x:v>
      </x:c>
      <x:c r="E429" s="28" t="n">
        <x:v>196</x:v>
      </x:c>
      <x:c r="F429" s="28" t="str">
        <x:v>TE|2</x:v>
      </x:c>
      <x:c r="G429" s="28" t="n">
        <x:f>XLOOKUP(A429,'Assumptions'!$A$12:$A$15,'Assumptions'!$C$12:$C$15)</x:f>
        <x:v>143.3</x:v>
      </x:c>
      <x:c r="H429" s="28" t="n">
        <x:f>E429-G429</x:f>
        <x:v>52.69999999999999</x:v>
      </x:c>
      <x:c r="I429" s="29" t="n">
        <x:v>0</x:v>
      </x:c>
      <x:c r="J429" s="28" t="n">
        <x:f>H429+I429</x:f>
        <x:v>52.69999999999999</x:v>
      </x:c>
      <x:c r="K429" s="26" t="str">
        <x:v>Projection-only v1.0</x:v>
      </x:c>
      <x:c r="L429" s="26" t="n">
        <x:f>RANK.EQ(J429,$J$5:$J$619,0)</x:f>
        <x:v>53</x:v>
      </x:c>
      <x:c r="M429" s="26" t="str">
        <x:f>IF(I429=0,"PROJECTION ONLY","EDITORIAL ADJUSTMENT")</x:f>
        <x:v>PROJECTION ONLY</x:v>
      </x:c>
    </x:row>
    <x:row r="430">
      <x:c r="A430" s="26" t="str">
        <x:v>TE</x:v>
      </x:c>
      <x:c r="B430" s="26" t="n">
        <x:v>3</x:v>
      </x:c>
      <x:c r="C430" s="26" t="str">
        <x:v>Colston Loveland</x:v>
      </x:c>
      <x:c r="D430" s="26" t="str">
        <x:v>CHI</x:v>
      </x:c>
      <x:c r="E430" s="28" t="n">
        <x:v>169.9</x:v>
      </x:c>
      <x:c r="F430" s="28" t="str">
        <x:v>TE|3</x:v>
      </x:c>
      <x:c r="G430" s="28" t="n">
        <x:f>XLOOKUP(A430,'Assumptions'!$A$12:$A$15,'Assumptions'!$C$12:$C$15)</x:f>
        <x:v>143.3</x:v>
      </x:c>
      <x:c r="H430" s="28" t="n">
        <x:f>E430-G430</x:f>
        <x:v>26.599999999999994</x:v>
      </x:c>
      <x:c r="I430" s="29" t="n">
        <x:v>0</x:v>
      </x:c>
      <x:c r="J430" s="28" t="n">
        <x:f>H430+I430</x:f>
        <x:v>26.599999999999994</x:v>
      </x:c>
      <x:c r="K430" s="26" t="str">
        <x:v>Projection-only v1.0</x:v>
      </x:c>
      <x:c r="L430" s="26" t="n">
        <x:f>RANK.EQ(J430,$J$5:$J$619,0)</x:f>
        <x:v>72</x:v>
      </x:c>
      <x:c r="M430" s="26" t="str">
        <x:f>IF(I430=0,"PROJECTION ONLY","EDITORIAL ADJUSTMENT")</x:f>
        <x:v>PROJECTION ONLY</x:v>
      </x:c>
    </x:row>
    <x:row r="431">
      <x:c r="A431" s="26" t="str">
        <x:v>TE</x:v>
      </x:c>
      <x:c r="B431" s="26" t="n">
        <x:v>4</x:v>
      </x:c>
      <x:c r="C431" s="26" t="str">
        <x:v>Tyler Warren</x:v>
      </x:c>
      <x:c r="D431" s="26" t="str">
        <x:v>IND</x:v>
      </x:c>
      <x:c r="E431" s="28" t="n">
        <x:v>162.1</x:v>
      </x:c>
      <x:c r="F431" s="28" t="str">
        <x:v>TE|4</x:v>
      </x:c>
      <x:c r="G431" s="28" t="n">
        <x:f>XLOOKUP(A431,'Assumptions'!$A$12:$A$15,'Assumptions'!$C$12:$C$15)</x:f>
        <x:v>143.3</x:v>
      </x:c>
      <x:c r="H431" s="28" t="n">
        <x:f>E431-G431</x:f>
        <x:v>18.799999999999983</x:v>
      </x:c>
      <x:c r="I431" s="29" t="n">
        <x:v>0</x:v>
      </x:c>
      <x:c r="J431" s="28" t="n">
        <x:f>H431+I431</x:f>
        <x:v>18.799999999999983</x:v>
      </x:c>
      <x:c r="K431" s="26" t="str">
        <x:v>Projection-only v1.0</x:v>
      </x:c>
      <x:c r="L431" s="26" t="n">
        <x:f>RANK.EQ(J431,$J$5:$J$619,0)</x:f>
        <x:v>81</x:v>
      </x:c>
      <x:c r="M431" s="26" t="str">
        <x:f>IF(I431=0,"PROJECTION ONLY","EDITORIAL ADJUSTMENT")</x:f>
        <x:v>PROJECTION ONLY</x:v>
      </x:c>
    </x:row>
    <x:row r="432">
      <x:c r="A432" s="26" t="str">
        <x:v>TE</x:v>
      </x:c>
      <x:c r="B432" s="26" t="n">
        <x:v>5</x:v>
      </x:c>
      <x:c r="C432" s="26" t="str">
        <x:v>Kyle Pitts Sr.</x:v>
      </x:c>
      <x:c r="D432" s="26" t="str">
        <x:v>ATL</x:v>
      </x:c>
      <x:c r="E432" s="28" t="n">
        <x:v>157.3</x:v>
      </x:c>
      <x:c r="F432" s="28" t="str">
        <x:v>TE|5</x:v>
      </x:c>
      <x:c r="G432" s="28" t="n">
        <x:f>XLOOKUP(A432,'Assumptions'!$A$12:$A$15,'Assumptions'!$C$12:$C$15)</x:f>
        <x:v>143.3</x:v>
      </x:c>
      <x:c r="H432" s="28" t="n">
        <x:f>E432-G432</x:f>
        <x:v>14</x:v>
      </x:c>
      <x:c r="I432" s="29" t="n">
        <x:v>0</x:v>
      </x:c>
      <x:c r="J432" s="28" t="n">
        <x:f>H432+I432</x:f>
        <x:v>14</x:v>
      </x:c>
      <x:c r="K432" s="26" t="str">
        <x:v>Projection-only v1.0</x:v>
      </x:c>
      <x:c r="L432" s="26" t="n">
        <x:f>RANK.EQ(J432,$J$5:$J$619,0)</x:f>
        <x:v>85</x:v>
      </x:c>
      <x:c r="M432" s="26" t="str">
        <x:f>IF(I432=0,"PROJECTION ONLY","EDITORIAL ADJUSTMENT")</x:f>
        <x:v>PROJECTION ONLY</x:v>
      </x:c>
    </x:row>
    <x:row r="433">
      <x:c r="A433" s="26" t="str">
        <x:v>TE</x:v>
      </x:c>
      <x:c r="B433" s="26" t="n">
        <x:v>6</x:v>
      </x:c>
      <x:c r="C433" s="26" t="str">
        <x:v>Sam LaPorta</x:v>
      </x:c>
      <x:c r="D433" s="26" t="str">
        <x:v>DET</x:v>
      </x:c>
      <x:c r="E433" s="28" t="n">
        <x:v>156.8</x:v>
      </x:c>
      <x:c r="F433" s="28" t="str">
        <x:v>TE|6</x:v>
      </x:c>
      <x:c r="G433" s="28" t="n">
        <x:f>XLOOKUP(A433,'Assumptions'!$A$12:$A$15,'Assumptions'!$C$12:$C$15)</x:f>
        <x:v>143.3</x:v>
      </x:c>
      <x:c r="H433" s="28" t="n">
        <x:f>E433-G433</x:f>
        <x:v>13.5</x:v>
      </x:c>
      <x:c r="I433" s="29" t="n">
        <x:v>0</x:v>
      </x:c>
      <x:c r="J433" s="28" t="n">
        <x:f>H433+I433</x:f>
        <x:v>13.5</x:v>
      </x:c>
      <x:c r="K433" s="26" t="str">
        <x:v>Projection-only v1.0</x:v>
      </x:c>
      <x:c r="L433" s="26" t="n">
        <x:f>RANK.EQ(J433,$J$5:$J$619,0)</x:f>
        <x:v>87</x:v>
      </x:c>
      <x:c r="M433" s="26" t="str">
        <x:f>IF(I433=0,"PROJECTION ONLY","EDITORIAL ADJUSTMENT")</x:f>
        <x:v>PROJECTION ONLY</x:v>
      </x:c>
    </x:row>
    <x:row r="434">
      <x:c r="A434" s="26" t="str">
        <x:v>TE</x:v>
      </x:c>
      <x:c r="B434" s="26" t="n">
        <x:v>7</x:v>
      </x:c>
      <x:c r="C434" s="26" t="str">
        <x:v>Harold Fannin Jr.</x:v>
      </x:c>
      <x:c r="D434" s="26" t="str">
        <x:v>CLE</x:v>
      </x:c>
      <x:c r="E434" s="28" t="n">
        <x:v>154.4</x:v>
      </x:c>
      <x:c r="F434" s="28" t="str">
        <x:v>TE|7</x:v>
      </x:c>
      <x:c r="G434" s="28" t="n">
        <x:f>XLOOKUP(A434,'Assumptions'!$A$12:$A$15,'Assumptions'!$C$12:$C$15)</x:f>
        <x:v>143.3</x:v>
      </x:c>
      <x:c r="H434" s="28" t="n">
        <x:f>E434-G434</x:f>
        <x:v>11.099999999999994</x:v>
      </x:c>
      <x:c r="I434" s="29" t="n">
        <x:v>0</x:v>
      </x:c>
      <x:c r="J434" s="28" t="n">
        <x:f>H434+I434</x:f>
        <x:v>11.099999999999994</x:v>
      </x:c>
      <x:c r="K434" s="26" t="str">
        <x:v>Projection-only v1.0</x:v>
      </x:c>
      <x:c r="L434" s="26" t="n">
        <x:f>RANK.EQ(J434,$J$5:$J$619,0)</x:f>
        <x:v>91</x:v>
      </x:c>
      <x:c r="M434" s="26" t="str">
        <x:f>IF(I434=0,"PROJECTION ONLY","EDITORIAL ADJUSTMENT")</x:f>
        <x:v>PROJECTION ONLY</x:v>
      </x:c>
    </x:row>
    <x:row r="435">
      <x:c r="A435" s="26" t="str">
        <x:v>TE</x:v>
      </x:c>
      <x:c r="B435" s="26" t="n">
        <x:v>8</x:v>
      </x:c>
      <x:c r="C435" s="26" t="str">
        <x:v>Jake Ferguson</x:v>
      </x:c>
      <x:c r="D435" s="26" t="str">
        <x:v>DAL</x:v>
      </x:c>
      <x:c r="E435" s="28" t="n">
        <x:v>144.2</x:v>
      </x:c>
      <x:c r="F435" s="28" t="str">
        <x:v>TE|8</x:v>
      </x:c>
      <x:c r="G435" s="28" t="n">
        <x:f>XLOOKUP(A435,'Assumptions'!$A$12:$A$15,'Assumptions'!$C$12:$C$15)</x:f>
        <x:v>143.3</x:v>
      </x:c>
      <x:c r="H435" s="28" t="n">
        <x:f>E435-G435</x:f>
        <x:v>0.8999999999999773</x:v>
      </x:c>
      <x:c r="I435" s="29" t="n">
        <x:v>0</x:v>
      </x:c>
      <x:c r="J435" s="28" t="n">
        <x:f>H435+I435</x:f>
        <x:v>0.8999999999999773</x:v>
      </x:c>
      <x:c r="K435" s="26" t="str">
        <x:v>Projection-only v1.0</x:v>
      </x:c>
      <x:c r="L435" s="26" t="n">
        <x:f>RANK.EQ(J435,$J$5:$J$619,0)</x:f>
        <x:v>106</x:v>
      </x:c>
      <x:c r="M435" s="26" t="str">
        <x:f>IF(I435=0,"PROJECTION ONLY","EDITORIAL ADJUSTMENT")</x:f>
        <x:v>PROJECTION ONLY</x:v>
      </x:c>
    </x:row>
    <x:row r="436">
      <x:c r="A436" s="26" t="str">
        <x:v>TE</x:v>
      </x:c>
      <x:c r="B436" s="26" t="n">
        <x:v>9</x:v>
      </x:c>
      <x:c r="C436" s="26" t="str">
        <x:v>Isaiah Likely</x:v>
      </x:c>
      <x:c r="D436" s="26" t="str">
        <x:v>NYG</x:v>
      </x:c>
      <x:c r="E436" s="28" t="n">
        <x:v>149.2</x:v>
      </x:c>
      <x:c r="F436" s="28" t="str">
        <x:v>TE|9</x:v>
      </x:c>
      <x:c r="G436" s="28" t="n">
        <x:f>XLOOKUP(A436,'Assumptions'!$A$12:$A$15,'Assumptions'!$C$12:$C$15)</x:f>
        <x:v>143.3</x:v>
      </x:c>
      <x:c r="H436" s="28" t="n">
        <x:f>E436-G436</x:f>
        <x:v>5.899999999999977</x:v>
      </x:c>
      <x:c r="I436" s="29" t="n">
        <x:v>0</x:v>
      </x:c>
      <x:c r="J436" s="28" t="n">
        <x:f>H436+I436</x:f>
        <x:v>5.899999999999977</x:v>
      </x:c>
      <x:c r="K436" s="26" t="str">
        <x:v>Projection-only v1.0</x:v>
      </x:c>
      <x:c r="L436" s="26" t="n">
        <x:f>RANK.EQ(J436,$J$5:$J$619,0)</x:f>
        <x:v>100</x:v>
      </x:c>
      <x:c r="M436" s="26" t="str">
        <x:f>IF(I436=0,"PROJECTION ONLY","EDITORIAL ADJUSTMENT")</x:f>
        <x:v>PROJECTION ONLY</x:v>
      </x:c>
    </x:row>
    <x:row r="437">
      <x:c r="A437" s="26" t="str">
        <x:v>TE</x:v>
      </x:c>
      <x:c r="B437" s="26" t="n">
        <x:v>10</x:v>
      </x:c>
      <x:c r="C437" s="26" t="str">
        <x:v>Travis Kelce</x:v>
      </x:c>
      <x:c r="D437" s="26" t="str">
        <x:v>KC</x:v>
      </x:c>
      <x:c r="E437" s="28" t="n">
        <x:v>143.5</x:v>
      </x:c>
      <x:c r="F437" s="28" t="str">
        <x:v>TE|10</x:v>
      </x:c>
      <x:c r="G437" s="28" t="n">
        <x:f>XLOOKUP(A437,'Assumptions'!$A$12:$A$15,'Assumptions'!$C$12:$C$15)</x:f>
        <x:v>143.3</x:v>
      </x:c>
      <x:c r="H437" s="28" t="n">
        <x:f>E437-G437</x:f>
        <x:v>0.19999999999998863</x:v>
      </x:c>
      <x:c r="I437" s="29" t="n">
        <x:v>0</x:v>
      </x:c>
      <x:c r="J437" s="28" t="n">
        <x:f>H437+I437</x:f>
        <x:v>0.19999999999998863</x:v>
      </x:c>
      <x:c r="K437" s="26" t="str">
        <x:v>Projection-only v1.0</x:v>
      </x:c>
      <x:c r="L437" s="26" t="n">
        <x:f>RANK.EQ(J437,$J$5:$J$619,0)</x:f>
        <x:v>107</x:v>
      </x:c>
      <x:c r="M437" s="26" t="str">
        <x:f>IF(I437=0,"PROJECTION ONLY","EDITORIAL ADJUSTMENT")</x:f>
        <x:v>PROJECTION ONLY</x:v>
      </x:c>
    </x:row>
    <x:row r="438">
      <x:c r="A438" s="26" t="str">
        <x:v>TE</x:v>
      </x:c>
      <x:c r="B438" s="26" t="n">
        <x:v>11</x:v>
      </x:c>
      <x:c r="C438" s="26" t="str">
        <x:v>Dallas Goedert</x:v>
      </x:c>
      <x:c r="D438" s="26" t="str">
        <x:v>PHI</x:v>
      </x:c>
      <x:c r="E438" s="28" t="n">
        <x:v>143.5</x:v>
      </x:c>
      <x:c r="F438" s="28" t="str">
        <x:v>TE|11</x:v>
      </x:c>
      <x:c r="G438" s="28" t="n">
        <x:f>XLOOKUP(A438,'Assumptions'!$A$12:$A$15,'Assumptions'!$C$12:$C$15)</x:f>
        <x:v>143.3</x:v>
      </x:c>
      <x:c r="H438" s="28" t="n">
        <x:f>E438-G438</x:f>
        <x:v>0.19999999999998863</x:v>
      </x:c>
      <x:c r="I438" s="29" t="n">
        <x:v>0</x:v>
      </x:c>
      <x:c r="J438" s="28" t="n">
        <x:f>H438+I438</x:f>
        <x:v>0.19999999999998863</x:v>
      </x:c>
      <x:c r="K438" s="26" t="str">
        <x:v>Projection-only v1.0</x:v>
      </x:c>
      <x:c r="L438" s="26" t="n">
        <x:f>RANK.EQ(J438,$J$5:$J$619,0)</x:f>
        <x:v>107</x:v>
      </x:c>
      <x:c r="M438" s="26" t="str">
        <x:f>IF(I438=0,"PROJECTION ONLY","EDITORIAL ADJUSTMENT")</x:f>
        <x:v>PROJECTION ONLY</x:v>
      </x:c>
    </x:row>
    <x:row r="439">
      <x:c r="A439" s="26" t="str">
        <x:v>TE</x:v>
      </x:c>
      <x:c r="B439" s="26" t="n">
        <x:v>12</x:v>
      </x:c>
      <x:c r="C439" s="26" t="str">
        <x:v>Dalton Kincaid</x:v>
      </x:c>
      <x:c r="D439" s="26" t="str">
        <x:v>BUF</x:v>
      </x:c>
      <x:c r="E439" s="28" t="n">
        <x:v>142.4</x:v>
      </x:c>
      <x:c r="F439" s="28" t="str">
        <x:v>TE|12</x:v>
      </x:c>
      <x:c r="G439" s="28" t="n">
        <x:f>XLOOKUP(A439,'Assumptions'!$A$12:$A$15,'Assumptions'!$C$12:$C$15)</x:f>
        <x:v>143.3</x:v>
      </x:c>
      <x:c r="H439" s="28" t="n">
        <x:f>E439-G439</x:f>
        <x:v>-0.9000000000000057</x:v>
      </x:c>
      <x:c r="I439" s="29" t="n">
        <x:v>0</x:v>
      </x:c>
      <x:c r="J439" s="28" t="n">
        <x:f>H439+I439</x:f>
        <x:v>-0.9000000000000057</x:v>
      </x:c>
      <x:c r="K439" s="26" t="str">
        <x:v>Projection-only v1.0</x:v>
      </x:c>
      <x:c r="L439" s="26" t="n">
        <x:f>RANK.EQ(J439,$J$5:$J$619,0)</x:f>
        <x:v>114</x:v>
      </x:c>
      <x:c r="M439" s="26" t="str">
        <x:f>IF(I439=0,"PROJECTION ONLY","EDITORIAL ADJUSTMENT")</x:f>
        <x:v>PROJECTION ONLY</x:v>
      </x:c>
    </x:row>
    <x:row r="440">
      <x:c r="A440" s="26" t="str">
        <x:v>TE</x:v>
      </x:c>
      <x:c r="B440" s="26" t="n">
        <x:v>13</x:v>
      </x:c>
      <x:c r="C440" s="26" t="str">
        <x:v>Tucker Kraft</x:v>
      </x:c>
      <x:c r="D440" s="26" t="str">
        <x:v>GB</x:v>
      </x:c>
      <x:c r="E440" s="28" t="n">
        <x:v>143.3</x:v>
      </x:c>
      <x:c r="F440" s="28" t="str">
        <x:v>TE|13</x:v>
      </x:c>
      <x:c r="G440" s="28" t="n">
        <x:f>XLOOKUP(A440,'Assumptions'!$A$12:$A$15,'Assumptions'!$C$12:$C$15)</x:f>
        <x:v>143.3</x:v>
      </x:c>
      <x:c r="H440" s="28" t="n">
        <x:f>E440-G440</x:f>
        <x:v>0</x:v>
      </x:c>
      <x:c r="I440" s="29" t="n">
        <x:v>0</x:v>
      </x:c>
      <x:c r="J440" s="28" t="n">
        <x:f>H440+I440</x:f>
        <x:v>0</x:v>
      </x:c>
      <x:c r="K440" s="26" t="str">
        <x:v>Projection-only v1.0</x:v>
      </x:c>
      <x:c r="L440" s="26" t="n">
        <x:f>RANK.EQ(J440,$J$5:$J$619,0)</x:f>
        <x:v>109</x:v>
      </x:c>
      <x:c r="M440" s="26" t="str">
        <x:f>IF(I440=0,"PROJECTION ONLY","EDITORIAL ADJUSTMENT")</x:f>
        <x:v>PROJECTION ONLY</x:v>
      </x:c>
    </x:row>
    <x:row r="441">
      <x:c r="A441" s="26" t="str">
        <x:v>TE</x:v>
      </x:c>
      <x:c r="B441" s="26" t="n">
        <x:v>14</x:v>
      </x:c>
      <x:c r="C441" s="26" t="str">
        <x:v>Mark Andrews</x:v>
      </x:c>
      <x:c r="D441" s="26" t="str">
        <x:v>BAL</x:v>
      </x:c>
      <x:c r="E441" s="28" t="n">
        <x:v>141.1</x:v>
      </x:c>
      <x:c r="F441" s="28" t="str">
        <x:v>TE|14</x:v>
      </x:c>
      <x:c r="G441" s="28" t="n">
        <x:f>XLOOKUP(A441,'Assumptions'!$A$12:$A$15,'Assumptions'!$C$12:$C$15)</x:f>
        <x:v>143.3</x:v>
      </x:c>
      <x:c r="H441" s="28" t="n">
        <x:f>E441-G441</x:f>
        <x:v>-2.200000000000017</x:v>
      </x:c>
      <x:c r="I441" s="29" t="n">
        <x:v>0</x:v>
      </x:c>
      <x:c r="J441" s="28" t="n">
        <x:f>H441+I441</x:f>
        <x:v>-2.200000000000017</x:v>
      </x:c>
      <x:c r="K441" s="26" t="str">
        <x:v>Projection-only v1.0</x:v>
      </x:c>
      <x:c r="L441" s="26" t="n">
        <x:f>RANK.EQ(J441,$J$5:$J$619,0)</x:f>
        <x:v>117</x:v>
      </x:c>
      <x:c r="M441" s="26" t="str">
        <x:f>IF(I441=0,"PROJECTION ONLY","EDITORIAL ADJUSTMENT")</x:f>
        <x:v>PROJECTION ONLY</x:v>
      </x:c>
    </x:row>
    <x:row r="442">
      <x:c r="A442" s="26" t="str">
        <x:v>TE</x:v>
      </x:c>
      <x:c r="B442" s="26" t="n">
        <x:v>15</x:v>
      </x:c>
      <x:c r="C442" s="26" t="str">
        <x:v>Brenton Strange</x:v>
      </x:c>
      <x:c r="D442" s="26" t="str">
        <x:v>JAX</x:v>
      </x:c>
      <x:c r="E442" s="28" t="n">
        <x:v>127.2</x:v>
      </x:c>
      <x:c r="F442" s="28" t="str">
        <x:v>TE|15</x:v>
      </x:c>
      <x:c r="G442" s="28" t="n">
        <x:f>XLOOKUP(A442,'Assumptions'!$A$12:$A$15,'Assumptions'!$C$12:$C$15)</x:f>
        <x:v>143.3</x:v>
      </x:c>
      <x:c r="H442" s="28" t="n">
        <x:f>E442-G442</x:f>
        <x:v>-16.10000000000001</x:v>
      </x:c>
      <x:c r="I442" s="29" t="n">
        <x:v>0</x:v>
      </x:c>
      <x:c r="J442" s="28" t="n">
        <x:f>H442+I442</x:f>
        <x:v>-16.10000000000001</x:v>
      </x:c>
      <x:c r="K442" s="26" t="str">
        <x:v>Projection-only v1.0</x:v>
      </x:c>
      <x:c r="L442" s="26" t="n">
        <x:f>RANK.EQ(J442,$J$5:$J$619,0)</x:f>
        <x:v>133</x:v>
      </x:c>
      <x:c r="M442" s="26" t="str">
        <x:f>IF(I442=0,"PROJECTION ONLY","EDITORIAL ADJUSTMENT")</x:f>
        <x:v>PROJECTION ONLY</x:v>
      </x:c>
    </x:row>
    <x:row r="443">
      <x:c r="A443" s="26" t="str">
        <x:v>TE</x:v>
      </x:c>
      <x:c r="B443" s="26" t="n">
        <x:v>16</x:v>
      </x:c>
      <x:c r="C443" s="26" t="str">
        <x:v>Hunter Henry</x:v>
      </x:c>
      <x:c r="D443" s="26" t="str">
        <x:v>NE</x:v>
      </x:c>
      <x:c r="E443" s="28" t="n">
        <x:v>125.3</x:v>
      </x:c>
      <x:c r="F443" s="28" t="str">
        <x:v>TE|16</x:v>
      </x:c>
      <x:c r="G443" s="28" t="n">
        <x:f>XLOOKUP(A443,'Assumptions'!$A$12:$A$15,'Assumptions'!$C$12:$C$15)</x:f>
        <x:v>143.3</x:v>
      </x:c>
      <x:c r="H443" s="28" t="n">
        <x:f>E443-G443</x:f>
        <x:v>-18.000000000000014</x:v>
      </x:c>
      <x:c r="I443" s="29" t="n">
        <x:v>0</x:v>
      </x:c>
      <x:c r="J443" s="28" t="n">
        <x:f>H443+I443</x:f>
        <x:v>-18.000000000000014</x:v>
      </x:c>
      <x:c r="K443" s="26" t="str">
        <x:v>Projection-only v1.0</x:v>
      </x:c>
      <x:c r="L443" s="26" t="n">
        <x:f>RANK.EQ(J443,$J$5:$J$619,0)</x:f>
        <x:v>135</x:v>
      </x:c>
      <x:c r="M443" s="26" t="str">
        <x:f>IF(I443=0,"PROJECTION ONLY","EDITORIAL ADJUSTMENT")</x:f>
        <x:v>PROJECTION ONLY</x:v>
      </x:c>
    </x:row>
    <x:row r="444">
      <x:c r="A444" s="26" t="str">
        <x:v>TE</x:v>
      </x:c>
      <x:c r="B444" s="26" t="n">
        <x:v>17</x:v>
      </x:c>
      <x:c r="C444" s="26" t="str">
        <x:v>Dalton Schultz</x:v>
      </x:c>
      <x:c r="D444" s="26" t="str">
        <x:v>HOU</x:v>
      </x:c>
      <x:c r="E444" s="28" t="n">
        <x:v>109.8</x:v>
      </x:c>
      <x:c r="F444" s="28" t="str">
        <x:v>TE|17</x:v>
      </x:c>
      <x:c r="G444" s="28" t="n">
        <x:f>XLOOKUP(A444,'Assumptions'!$A$12:$A$15,'Assumptions'!$C$12:$C$15)</x:f>
        <x:v>143.3</x:v>
      </x:c>
      <x:c r="H444" s="28" t="n">
        <x:f>E444-G444</x:f>
        <x:v>-33.500000000000014</x:v>
      </x:c>
      <x:c r="I444" s="29" t="n">
        <x:v>0</x:v>
      </x:c>
      <x:c r="J444" s="28" t="n">
        <x:f>H444+I444</x:f>
        <x:v>-33.500000000000014</x:v>
      </x:c>
      <x:c r="K444" s="26" t="str">
        <x:v>Projection-only v1.0</x:v>
      </x:c>
      <x:c r="L444" s="26" t="n">
        <x:f>RANK.EQ(J444,$J$5:$J$619,0)</x:f>
        <x:v>161</x:v>
      </x:c>
      <x:c r="M444" s="26" t="str">
        <x:f>IF(I444=0,"PROJECTION ONLY","EDITORIAL ADJUSTMENT")</x:f>
        <x:v>PROJECTION ONLY</x:v>
      </x:c>
    </x:row>
    <x:row r="445">
      <x:c r="A445" s="26" t="str">
        <x:v>TE</x:v>
      </x:c>
      <x:c r="B445" s="26" t="n">
        <x:v>18</x:v>
      </x:c>
      <x:c r="C445" s="26" t="str">
        <x:v>George Kittle</x:v>
      </x:c>
      <x:c r="D445" s="26" t="str">
        <x:v>SF</x:v>
      </x:c>
      <x:c r="E445" s="28" t="n">
        <x:v>113.6</x:v>
      </x:c>
      <x:c r="F445" s="28" t="str">
        <x:v>TE|18</x:v>
      </x:c>
      <x:c r="G445" s="28" t="n">
        <x:f>XLOOKUP(A445,'Assumptions'!$A$12:$A$15,'Assumptions'!$C$12:$C$15)</x:f>
        <x:v>143.3</x:v>
      </x:c>
      <x:c r="H445" s="28" t="n">
        <x:f>E445-G445</x:f>
        <x:v>-29.700000000000017</x:v>
      </x:c>
      <x:c r="I445" s="29" t="n">
        <x:v>0</x:v>
      </x:c>
      <x:c r="J445" s="28" t="n">
        <x:f>H445+I445</x:f>
        <x:v>-29.700000000000017</x:v>
      </x:c>
      <x:c r="K445" s="26" t="str">
        <x:v>Projection-only v1.0</x:v>
      </x:c>
      <x:c r="L445" s="26" t="n">
        <x:f>RANK.EQ(J445,$J$5:$J$619,0)</x:f>
        <x:v>153</x:v>
      </x:c>
      <x:c r="M445" s="26" t="str">
        <x:f>IF(I445=0,"PROJECTION ONLY","EDITORIAL ADJUSTMENT")</x:f>
        <x:v>PROJECTION ONLY</x:v>
      </x:c>
    </x:row>
    <x:row r="446">
      <x:c r="A446" s="26" t="str">
        <x:v>TE</x:v>
      </x:c>
      <x:c r="B446" s="26" t="n">
        <x:v>19</x:v>
      </x:c>
      <x:c r="C446" s="26" t="str">
        <x:v>AJ Barner</x:v>
      </x:c>
      <x:c r="D446" s="26" t="str">
        <x:v>SEA</x:v>
      </x:c>
      <x:c r="E446" s="28" t="n">
        <x:v>110.8</x:v>
      </x:c>
      <x:c r="F446" s="28" t="str">
        <x:v>TE|19</x:v>
      </x:c>
      <x:c r="G446" s="28" t="n">
        <x:f>XLOOKUP(A446,'Assumptions'!$A$12:$A$15,'Assumptions'!$C$12:$C$15)</x:f>
        <x:v>143.3</x:v>
      </x:c>
      <x:c r="H446" s="28" t="n">
        <x:f>E446-G446</x:f>
        <x:v>-32.500000000000014</x:v>
      </x:c>
      <x:c r="I446" s="29" t="n">
        <x:v>0</x:v>
      </x:c>
      <x:c r="J446" s="28" t="n">
        <x:f>H446+I446</x:f>
        <x:v>-32.500000000000014</x:v>
      </x:c>
      <x:c r="K446" s="26" t="str">
        <x:v>Projection-only v1.0</x:v>
      </x:c>
      <x:c r="L446" s="26" t="n">
        <x:f>RANK.EQ(J446,$J$5:$J$619,0)</x:f>
        <x:v>160</x:v>
      </x:c>
      <x:c r="M446" s="26" t="str">
        <x:f>IF(I446=0,"PROJECTION ONLY","EDITORIAL ADJUSTMENT")</x:f>
        <x:v>PROJECTION ONLY</x:v>
      </x:c>
    </x:row>
    <x:row r="447">
      <x:c r="A447" s="26" t="str">
        <x:v>TE</x:v>
      </x:c>
      <x:c r="B447" s="26" t="n">
        <x:v>20</x:v>
      </x:c>
      <x:c r="C447" s="26" t="str">
        <x:v>Juwan Johnson</x:v>
      </x:c>
      <x:c r="D447" s="26" t="str">
        <x:v>NO</x:v>
      </x:c>
      <x:c r="E447" s="28" t="n">
        <x:v>106.3</x:v>
      </x:c>
      <x:c r="F447" s="28" t="str">
        <x:v>TE|20</x:v>
      </x:c>
      <x:c r="G447" s="28" t="n">
        <x:f>XLOOKUP(A447,'Assumptions'!$A$12:$A$15,'Assumptions'!$C$12:$C$15)</x:f>
        <x:v>143.3</x:v>
      </x:c>
      <x:c r="H447" s="28" t="n">
        <x:f>E447-G447</x:f>
        <x:v>-37.000000000000014</x:v>
      </x:c>
      <x:c r="I447" s="29" t="n">
        <x:v>0</x:v>
      </x:c>
      <x:c r="J447" s="28" t="n">
        <x:f>H447+I447</x:f>
        <x:v>-37.000000000000014</x:v>
      </x:c>
      <x:c r="K447" s="26" t="str">
        <x:v>Projection-only v1.0</x:v>
      </x:c>
      <x:c r="L447" s="26" t="n">
        <x:f>RANK.EQ(J447,$J$5:$J$619,0)</x:f>
        <x:v>166</x:v>
      </x:c>
      <x:c r="M447" s="26" t="str">
        <x:f>IF(I447=0,"PROJECTION ONLY","EDITORIAL ADJUSTMENT")</x:f>
        <x:v>PROJECTION ONLY</x:v>
      </x:c>
    </x:row>
    <x:row r="448">
      <x:c r="A448" s="26" t="str">
        <x:v>TE</x:v>
      </x:c>
      <x:c r="B448" s="26" t="n">
        <x:v>21</x:v>
      </x:c>
      <x:c r="C448" s="26" t="str">
        <x:v>Cade Otton</x:v>
      </x:c>
      <x:c r="D448" s="26" t="str">
        <x:v>TB</x:v>
      </x:c>
      <x:c r="E448" s="28" t="n">
        <x:v>102.9</x:v>
      </x:c>
      <x:c r="F448" s="28" t="str">
        <x:v>TE|21</x:v>
      </x:c>
      <x:c r="G448" s="28" t="n">
        <x:f>XLOOKUP(A448,'Assumptions'!$A$12:$A$15,'Assumptions'!$C$12:$C$15)</x:f>
        <x:v>143.3</x:v>
      </x:c>
      <x:c r="H448" s="28" t="n">
        <x:f>E448-G448</x:f>
        <x:v>-40.400000000000006</x:v>
      </x:c>
      <x:c r="I448" s="29" t="n">
        <x:v>0</x:v>
      </x:c>
      <x:c r="J448" s="28" t="n">
        <x:f>H448+I448</x:f>
        <x:v>-40.400000000000006</x:v>
      </x:c>
      <x:c r="K448" s="26" t="str">
        <x:v>Projection-only v1.0</x:v>
      </x:c>
      <x:c r="L448" s="26" t="n">
        <x:f>RANK.EQ(J448,$J$5:$J$619,0)</x:f>
        <x:v>173</x:v>
      </x:c>
      <x:c r="M448" s="26" t="str">
        <x:f>IF(I448=0,"PROJECTION ONLY","EDITORIAL ADJUSTMENT")</x:f>
        <x:v>PROJECTION ONLY</x:v>
      </x:c>
    </x:row>
    <x:row r="449">
      <x:c r="A449" s="26" t="str">
        <x:v>TE</x:v>
      </x:c>
      <x:c r="B449" s="26" t="n">
        <x:v>22</x:v>
      </x:c>
      <x:c r="C449" s="26" t="str">
        <x:v>T.J. Hockenson</x:v>
      </x:c>
      <x:c r="D449" s="26" t="str">
        <x:v>MIN</x:v>
      </x:c>
      <x:c r="E449" s="28" t="n">
        <x:v>99.9</x:v>
      </x:c>
      <x:c r="F449" s="28" t="str">
        <x:v>TE|22</x:v>
      </x:c>
      <x:c r="G449" s="28" t="n">
        <x:f>XLOOKUP(A449,'Assumptions'!$A$12:$A$15,'Assumptions'!$C$12:$C$15)</x:f>
        <x:v>143.3</x:v>
      </x:c>
      <x:c r="H449" s="28" t="n">
        <x:f>E449-G449</x:f>
        <x:v>-43.400000000000006</x:v>
      </x:c>
      <x:c r="I449" s="29" t="n">
        <x:v>0</x:v>
      </x:c>
      <x:c r="J449" s="28" t="n">
        <x:f>H449+I449</x:f>
        <x:v>-43.400000000000006</x:v>
      </x:c>
      <x:c r="K449" s="26" t="str">
        <x:v>Projection-only v1.0</x:v>
      </x:c>
      <x:c r="L449" s="26" t="n">
        <x:f>RANK.EQ(J449,$J$5:$J$619,0)</x:f>
        <x:v>177</x:v>
      </x:c>
      <x:c r="M449" s="26" t="str">
        <x:f>IF(I449=0,"PROJECTION ONLY","EDITORIAL ADJUSTMENT")</x:f>
        <x:v>PROJECTION ONLY</x:v>
      </x:c>
    </x:row>
    <x:row r="450">
      <x:c r="A450" s="26" t="str">
        <x:v>TE</x:v>
      </x:c>
      <x:c r="B450" s="26" t="n">
        <x:v>23</x:v>
      </x:c>
      <x:c r="C450" s="26" t="str">
        <x:v>Pat Freiermuth</x:v>
      </x:c>
      <x:c r="D450" s="26" t="str">
        <x:v>PIT</x:v>
      </x:c>
      <x:c r="E450" s="28" t="n">
        <x:v>99.5</x:v>
      </x:c>
      <x:c r="F450" s="28" t="str">
        <x:v>TE|23</x:v>
      </x:c>
      <x:c r="G450" s="28" t="n">
        <x:f>XLOOKUP(A450,'Assumptions'!$A$12:$A$15,'Assumptions'!$C$12:$C$15)</x:f>
        <x:v>143.3</x:v>
      </x:c>
      <x:c r="H450" s="28" t="n">
        <x:f>E450-G450</x:f>
        <x:v>-43.80000000000001</x:v>
      </x:c>
      <x:c r="I450" s="29" t="n">
        <x:v>0</x:v>
      </x:c>
      <x:c r="J450" s="28" t="n">
        <x:f>H450+I450</x:f>
        <x:v>-43.80000000000001</x:v>
      </x:c>
      <x:c r="K450" s="26" t="str">
        <x:v>Projection-only v1.0</x:v>
      </x:c>
      <x:c r="L450" s="26" t="n">
        <x:f>RANK.EQ(J450,$J$5:$J$619,0)</x:f>
        <x:v>178</x:v>
      </x:c>
      <x:c r="M450" s="26" t="str">
        <x:f>IF(I450=0,"PROJECTION ONLY","EDITORIAL ADJUSTMENT")</x:f>
        <x:v>PROJECTION ONLY</x:v>
      </x:c>
    </x:row>
    <x:row r="451">
      <x:c r="A451" s="26" t="str">
        <x:v>TE</x:v>
      </x:c>
      <x:c r="B451" s="26" t="n">
        <x:v>24</x:v>
      </x:c>
      <x:c r="C451" s="26" t="str">
        <x:v>Oronde Gadsden</x:v>
      </x:c>
      <x:c r="D451" s="26" t="str">
        <x:v>LAC</x:v>
      </x:c>
      <x:c r="E451" s="28" t="n">
        <x:v>99.3</x:v>
      </x:c>
      <x:c r="F451" s="28" t="str">
        <x:v>TE|24</x:v>
      </x:c>
      <x:c r="G451" s="28" t="n">
        <x:f>XLOOKUP(A451,'Assumptions'!$A$12:$A$15,'Assumptions'!$C$12:$C$15)</x:f>
        <x:v>143.3</x:v>
      </x:c>
      <x:c r="H451" s="28" t="n">
        <x:f>E451-G451</x:f>
        <x:v>-44.000000000000014</x:v>
      </x:c>
      <x:c r="I451" s="29" t="n">
        <x:v>0</x:v>
      </x:c>
      <x:c r="J451" s="28" t="n">
        <x:f>H451+I451</x:f>
        <x:v>-44.000000000000014</x:v>
      </x:c>
      <x:c r="K451" s="26" t="str">
        <x:v>Projection-only v1.0</x:v>
      </x:c>
      <x:c r="L451" s="26" t="n">
        <x:f>RANK.EQ(J451,$J$5:$J$619,0)</x:f>
        <x:v>180</x:v>
      </x:c>
      <x:c r="M451" s="26" t="str">
        <x:f>IF(I451=0,"PROJECTION ONLY","EDITORIAL ADJUSTMENT")</x:f>
        <x:v>PROJECTION ONLY</x:v>
      </x:c>
    </x:row>
    <x:row r="452">
      <x:c r="A452" s="26" t="str">
        <x:v>TE</x:v>
      </x:c>
      <x:c r="B452" s="26" t="n">
        <x:v>25</x:v>
      </x:c>
      <x:c r="C452" s="26" t="str">
        <x:v>Chig Okonkwo</x:v>
      </x:c>
      <x:c r="D452" s="26" t="str">
        <x:v>WAS</x:v>
      </x:c>
      <x:c r="E452" s="28" t="n">
        <x:v>97.2</x:v>
      </x:c>
      <x:c r="F452" s="28" t="str">
        <x:v>TE|25</x:v>
      </x:c>
      <x:c r="G452" s="28" t="n">
        <x:f>XLOOKUP(A452,'Assumptions'!$A$12:$A$15,'Assumptions'!$C$12:$C$15)</x:f>
        <x:v>143.3</x:v>
      </x:c>
      <x:c r="H452" s="28" t="n">
        <x:f>E452-G452</x:f>
        <x:v>-46.10000000000001</x:v>
      </x:c>
      <x:c r="I452" s="29" t="n">
        <x:v>0</x:v>
      </x:c>
      <x:c r="J452" s="28" t="n">
        <x:f>H452+I452</x:f>
        <x:v>-46.10000000000001</x:v>
      </x:c>
      <x:c r="K452" s="26" t="str">
        <x:v>Projection-only v1.0</x:v>
      </x:c>
      <x:c r="L452" s="26" t="n">
        <x:f>RANK.EQ(J452,$J$5:$J$619,0)</x:f>
        <x:v>188</x:v>
      </x:c>
      <x:c r="M452" s="26" t="str">
        <x:f>IF(I452=0,"PROJECTION ONLY","EDITORIAL ADJUSTMENT")</x:f>
        <x:v>PROJECTION ONLY</x:v>
      </x:c>
    </x:row>
    <x:row r="453">
      <x:c r="A453" s="26" t="str">
        <x:v>TE</x:v>
      </x:c>
      <x:c r="B453" s="26" t="n">
        <x:v>26</x:v>
      </x:c>
      <x:c r="C453" s="26" t="str">
        <x:v>Greg Dulcich</x:v>
      </x:c>
      <x:c r="D453" s="26" t="str">
        <x:v>MIA</x:v>
      </x:c>
      <x:c r="E453" s="28" t="n">
        <x:v>93.6</x:v>
      </x:c>
      <x:c r="F453" s="28" t="str">
        <x:v>TE|26</x:v>
      </x:c>
      <x:c r="G453" s="28" t="n">
        <x:f>XLOOKUP(A453,'Assumptions'!$A$12:$A$15,'Assumptions'!$C$12:$C$15)</x:f>
        <x:v>143.3</x:v>
      </x:c>
      <x:c r="H453" s="28" t="n">
        <x:f>E453-G453</x:f>
        <x:v>-49.70000000000002</x:v>
      </x:c>
      <x:c r="I453" s="29" t="n">
        <x:v>0</x:v>
      </x:c>
      <x:c r="J453" s="28" t="n">
        <x:f>H453+I453</x:f>
        <x:v>-49.70000000000002</x:v>
      </x:c>
      <x:c r="K453" s="26" t="str">
        <x:v>Projection-only v1.0</x:v>
      </x:c>
      <x:c r="L453" s="26" t="n">
        <x:f>RANK.EQ(J453,$J$5:$J$619,0)</x:f>
        <x:v>196</x:v>
      </x:c>
      <x:c r="M453" s="26" t="str">
        <x:f>IF(I453=0,"PROJECTION ONLY","EDITORIAL ADJUSTMENT")</x:f>
        <x:v>PROJECTION ONLY</x:v>
      </x:c>
    </x:row>
    <x:row r="454">
      <x:c r="A454" s="26" t="str">
        <x:v>TE</x:v>
      </x:c>
      <x:c r="B454" s="26" t="n">
        <x:v>27</x:v>
      </x:c>
      <x:c r="C454" s="26" t="str">
        <x:v>Mike Gesicki</x:v>
      </x:c>
      <x:c r="D454" s="26" t="str">
        <x:v>CIN</x:v>
      </x:c>
      <x:c r="E454" s="28" t="n">
        <x:v>89.7</x:v>
      </x:c>
      <x:c r="F454" s="28" t="str">
        <x:v>TE|27</x:v>
      </x:c>
      <x:c r="G454" s="28" t="n">
        <x:f>XLOOKUP(A454,'Assumptions'!$A$12:$A$15,'Assumptions'!$C$12:$C$15)</x:f>
        <x:v>143.3</x:v>
      </x:c>
      <x:c r="H454" s="28" t="n">
        <x:f>E454-G454</x:f>
        <x:v>-53.60000000000001</x:v>
      </x:c>
      <x:c r="I454" s="29" t="n">
        <x:v>0</x:v>
      </x:c>
      <x:c r="J454" s="28" t="n">
        <x:f>H454+I454</x:f>
        <x:v>-53.60000000000001</x:v>
      </x:c>
      <x:c r="K454" s="26" t="str">
        <x:v>Projection-only v1.0</x:v>
      </x:c>
      <x:c r="L454" s="26" t="n">
        <x:f>RANK.EQ(J454,$J$5:$J$619,0)</x:f>
        <x:v>204</x:v>
      </x:c>
      <x:c r="M454" s="26" t="str">
        <x:f>IF(I454=0,"PROJECTION ONLY","EDITORIAL ADJUSTMENT")</x:f>
        <x:v>PROJECTION ONLY</x:v>
      </x:c>
    </x:row>
    <x:row r="455">
      <x:c r="A455" s="26" t="str">
        <x:v>TE</x:v>
      </x:c>
      <x:c r="B455" s="26" t="n">
        <x:v>28</x:v>
      </x:c>
      <x:c r="C455" s="26" t="str">
        <x:v>Kenyon Sadiq</x:v>
      </x:c>
      <x:c r="D455" s="26" t="str">
        <x:v>NYJ</x:v>
      </x:c>
      <x:c r="E455" s="28" t="n">
        <x:v>89.8</x:v>
      </x:c>
      <x:c r="F455" s="28" t="str">
        <x:v>TE|28</x:v>
      </x:c>
      <x:c r="G455" s="28" t="n">
        <x:f>XLOOKUP(A455,'Assumptions'!$A$12:$A$15,'Assumptions'!$C$12:$C$15)</x:f>
        <x:v>143.3</x:v>
      </x:c>
      <x:c r="H455" s="28" t="n">
        <x:f>E455-G455</x:f>
        <x:v>-53.500000000000014</x:v>
      </x:c>
      <x:c r="I455" s="29" t="n">
        <x:v>0</x:v>
      </x:c>
      <x:c r="J455" s="28" t="n">
        <x:f>H455+I455</x:f>
        <x:v>-53.500000000000014</x:v>
      </x:c>
      <x:c r="K455" s="26" t="str">
        <x:v>Projection-only v1.0</x:v>
      </x:c>
      <x:c r="L455" s="26" t="n">
        <x:f>RANK.EQ(J455,$J$5:$J$619,0)</x:f>
        <x:v>203</x:v>
      </x:c>
      <x:c r="M455" s="26" t="str">
        <x:f>IF(I455=0,"PROJECTION ONLY","EDITORIAL ADJUSTMENT")</x:f>
        <x:v>PROJECTION ONLY</x:v>
      </x:c>
    </x:row>
    <x:row r="456">
      <x:c r="A456" s="26" t="str">
        <x:v>TE</x:v>
      </x:c>
      <x:c r="B456" s="26" t="n">
        <x:v>29</x:v>
      </x:c>
      <x:c r="C456" s="26" t="str">
        <x:v>Evan Engram</x:v>
      </x:c>
      <x:c r="D456" s="26" t="str">
        <x:v>DEN</x:v>
      </x:c>
      <x:c r="E456" s="28" t="n">
        <x:v>79.6</x:v>
      </x:c>
      <x:c r="F456" s="28" t="str">
        <x:v>TE|29</x:v>
      </x:c>
      <x:c r="G456" s="28" t="n">
        <x:f>XLOOKUP(A456,'Assumptions'!$A$12:$A$15,'Assumptions'!$C$12:$C$15)</x:f>
        <x:v>143.3</x:v>
      </x:c>
      <x:c r="H456" s="28" t="n">
        <x:f>E456-G456</x:f>
        <x:v>-63.70000000000002</x:v>
      </x:c>
      <x:c r="I456" s="29" t="n">
        <x:v>0</x:v>
      </x:c>
      <x:c r="J456" s="28" t="n">
        <x:f>H456+I456</x:f>
        <x:v>-63.70000000000002</x:v>
      </x:c>
      <x:c r="K456" s="26" t="str">
        <x:v>Projection-only v1.0</x:v>
      </x:c>
      <x:c r="L456" s="26" t="n">
        <x:f>RANK.EQ(J456,$J$5:$J$619,0)</x:f>
        <x:v>228</x:v>
      </x:c>
      <x:c r="M456" s="26" t="str">
        <x:f>IF(I456=0,"PROJECTION ONLY","EDITORIAL ADJUSTMENT")</x:f>
        <x:v>PROJECTION ONLY</x:v>
      </x:c>
    </x:row>
    <x:row r="457">
      <x:c r="A457" s="26" t="str">
        <x:v>TE</x:v>
      </x:c>
      <x:c r="B457" s="26" t="n">
        <x:v>30</x:v>
      </x:c>
      <x:c r="C457" s="26" t="str">
        <x:v>Terrance Ferguson</x:v>
      </x:c>
      <x:c r="D457" s="26" t="str">
        <x:v>LAR</x:v>
      </x:c>
      <x:c r="E457" s="28" t="n">
        <x:v>83.8</x:v>
      </x:c>
      <x:c r="F457" s="28" t="str">
        <x:v>TE|30</x:v>
      </x:c>
      <x:c r="G457" s="28" t="n">
        <x:f>XLOOKUP(A457,'Assumptions'!$A$12:$A$15,'Assumptions'!$C$12:$C$15)</x:f>
        <x:v>143.3</x:v>
      </x:c>
      <x:c r="H457" s="28" t="n">
        <x:f>E457-G457</x:f>
        <x:v>-59.500000000000014</x:v>
      </x:c>
      <x:c r="I457" s="29" t="n">
        <x:v>0</x:v>
      </x:c>
      <x:c r="J457" s="28" t="n">
        <x:f>H457+I457</x:f>
        <x:v>-59.500000000000014</x:v>
      </x:c>
      <x:c r="K457" s="26" t="str">
        <x:v>Projection-only v1.0</x:v>
      </x:c>
      <x:c r="L457" s="26" t="n">
        <x:f>RANK.EQ(J457,$J$5:$J$619,0)</x:f>
        <x:v>219</x:v>
      </x:c>
      <x:c r="M457" s="26" t="str">
        <x:f>IF(I457=0,"PROJECTION ONLY","EDITORIAL ADJUSTMENT")</x:f>
        <x:v>PROJECTION ONLY</x:v>
      </x:c>
    </x:row>
    <x:row r="458">
      <x:c r="A458" s="26" t="str">
        <x:v>TE</x:v>
      </x:c>
      <x:c r="B458" s="26" t="n">
        <x:v>31</x:v>
      </x:c>
      <x:c r="C458" s="26" t="str">
        <x:v>David Njoku</x:v>
      </x:c>
      <x:c r="D458" s="26" t="str">
        <x:v>LAC</x:v>
      </x:c>
      <x:c r="E458" s="28" t="n">
        <x:v>76.7</x:v>
      </x:c>
      <x:c r="F458" s="28" t="str">
        <x:v>TE|31</x:v>
      </x:c>
      <x:c r="G458" s="28" t="n">
        <x:f>XLOOKUP(A458,'Assumptions'!$A$12:$A$15,'Assumptions'!$C$12:$C$15)</x:f>
        <x:v>143.3</x:v>
      </x:c>
      <x:c r="H458" s="28" t="n">
        <x:f>E458-G458</x:f>
        <x:v>-66.60000000000001</x:v>
      </x:c>
      <x:c r="I458" s="29" t="n">
        <x:v>0</x:v>
      </x:c>
      <x:c r="J458" s="28" t="n">
        <x:f>H458+I458</x:f>
        <x:v>-66.60000000000001</x:v>
      </x:c>
      <x:c r="K458" s="26" t="str">
        <x:v>Projection-only v1.0</x:v>
      </x:c>
      <x:c r="L458" s="26" t="n">
        <x:f>RANK.EQ(J458,$J$5:$J$619,0)</x:f>
        <x:v>240</x:v>
      </x:c>
      <x:c r="M458" s="26" t="str">
        <x:f>IF(I458=0,"PROJECTION ONLY","EDITORIAL ADJUSTMENT")</x:f>
        <x:v>PROJECTION ONLY</x:v>
      </x:c>
    </x:row>
    <x:row r="459">
      <x:c r="A459" s="26" t="str">
        <x:v>TE</x:v>
      </x:c>
      <x:c r="B459" s="26" t="n">
        <x:v>32</x:v>
      </x:c>
      <x:c r="C459" s="26" t="str">
        <x:v>Gunnar Helm</x:v>
      </x:c>
      <x:c r="D459" s="26" t="str">
        <x:v>TEN</x:v>
      </x:c>
      <x:c r="E459" s="28" t="n">
        <x:v>65.2</x:v>
      </x:c>
      <x:c r="F459" s="28" t="str">
        <x:v>TE|32</x:v>
      </x:c>
      <x:c r="G459" s="28" t="n">
        <x:f>XLOOKUP(A459,'Assumptions'!$A$12:$A$15,'Assumptions'!$C$12:$C$15)</x:f>
        <x:v>143.3</x:v>
      </x:c>
      <x:c r="H459" s="28" t="n">
        <x:f>E459-G459</x:f>
        <x:v>-78.10000000000001</x:v>
      </x:c>
      <x:c r="I459" s="29" t="n">
        <x:v>0</x:v>
      </x:c>
      <x:c r="J459" s="28" t="n">
        <x:f>H459+I459</x:f>
        <x:v>-78.10000000000001</x:v>
      </x:c>
      <x:c r="K459" s="26" t="str">
        <x:v>Projection-only v1.0</x:v>
      </x:c>
      <x:c r="L459" s="26" t="n">
        <x:f>RANK.EQ(J459,$J$5:$J$619,0)</x:f>
        <x:v>259</x:v>
      </x:c>
      <x:c r="M459" s="26" t="str">
        <x:f>IF(I459=0,"PROJECTION ONLY","EDITORIAL ADJUSTMENT")</x:f>
        <x:v>PROJECTION ONLY</x:v>
      </x:c>
    </x:row>
    <x:row r="460">
      <x:c r="A460" s="26" t="str">
        <x:v>TE</x:v>
      </x:c>
      <x:c r="B460" s="26" t="n">
        <x:v>33</x:v>
      </x:c>
      <x:c r="C460" s="26" t="str">
        <x:v>Darnell Washington</x:v>
      </x:c>
      <x:c r="D460" s="26" t="str">
        <x:v>PIT</x:v>
      </x:c>
      <x:c r="E460" s="28" t="n">
        <x:v>62.1</x:v>
      </x:c>
      <x:c r="F460" s="28" t="str">
        <x:v>TE|33</x:v>
      </x:c>
      <x:c r="G460" s="28" t="n">
        <x:f>XLOOKUP(A460,'Assumptions'!$A$12:$A$15,'Assumptions'!$C$12:$C$15)</x:f>
        <x:v>143.3</x:v>
      </x:c>
      <x:c r="H460" s="28" t="n">
        <x:f>E460-G460</x:f>
        <x:v>-81.20000000000002</x:v>
      </x:c>
      <x:c r="I460" s="29" t="n">
        <x:v>0</x:v>
      </x:c>
      <x:c r="J460" s="28" t="n">
        <x:f>H460+I460</x:f>
        <x:v>-81.20000000000002</x:v>
      </x:c>
      <x:c r="K460" s="26" t="str">
        <x:v>Projection-only v1.0</x:v>
      </x:c>
      <x:c r="L460" s="26" t="n">
        <x:f>RANK.EQ(J460,$J$5:$J$619,0)</x:f>
        <x:v>266</x:v>
      </x:c>
      <x:c r="M460" s="26" t="str">
        <x:f>IF(I460=0,"PROJECTION ONLY","EDITORIAL ADJUSTMENT")</x:f>
        <x:v>PROJECTION ONLY</x:v>
      </x:c>
    </x:row>
    <x:row r="461">
      <x:c r="A461" s="26" t="str">
        <x:v>TE</x:v>
      </x:c>
      <x:c r="B461" s="26" t="n">
        <x:v>34</x:v>
      </x:c>
      <x:c r="C461" s="26" t="str">
        <x:v>Mason Taylor</x:v>
      </x:c>
      <x:c r="D461" s="26" t="str">
        <x:v>NYJ</x:v>
      </x:c>
      <x:c r="E461" s="28" t="n">
        <x:v>58.3</x:v>
      </x:c>
      <x:c r="F461" s="28" t="str">
        <x:v>TE|34</x:v>
      </x:c>
      <x:c r="G461" s="28" t="n">
        <x:f>XLOOKUP(A461,'Assumptions'!$A$12:$A$15,'Assumptions'!$C$12:$C$15)</x:f>
        <x:v>143.3</x:v>
      </x:c>
      <x:c r="H461" s="28" t="n">
        <x:f>E461-G461</x:f>
        <x:v>-85.00000000000001</x:v>
      </x:c>
      <x:c r="I461" s="29" t="n">
        <x:v>0</x:v>
      </x:c>
      <x:c r="J461" s="28" t="n">
        <x:f>H461+I461</x:f>
        <x:v>-85.00000000000001</x:v>
      </x:c>
      <x:c r="K461" s="26" t="str">
        <x:v>Projection-only v1.0</x:v>
      </x:c>
      <x:c r="L461" s="26" t="n">
        <x:f>RANK.EQ(J461,$J$5:$J$619,0)</x:f>
        <x:v>277</x:v>
      </x:c>
      <x:c r="M461" s="26" t="str">
        <x:f>IF(I461=0,"PROJECTION ONLY","EDITORIAL ADJUSTMENT")</x:f>
        <x:v>PROJECTION ONLY</x:v>
      </x:c>
    </x:row>
    <x:row r="462">
      <x:c r="A462" s="26" t="str">
        <x:v>TE</x:v>
      </x:c>
      <x:c r="B462" s="26" t="n">
        <x:v>35</x:v>
      </x:c>
      <x:c r="C462" s="26" t="str">
        <x:v>Dawson Knox</x:v>
      </x:c>
      <x:c r="D462" s="26" t="str">
        <x:v>BUF</x:v>
      </x:c>
      <x:c r="E462" s="28" t="n">
        <x:v>58.5</x:v>
      </x:c>
      <x:c r="F462" s="28" t="str">
        <x:v>TE|35</x:v>
      </x:c>
      <x:c r="G462" s="28" t="n">
        <x:f>XLOOKUP(A462,'Assumptions'!$A$12:$A$15,'Assumptions'!$C$12:$C$15)</x:f>
        <x:v>143.3</x:v>
      </x:c>
      <x:c r="H462" s="28" t="n">
        <x:f>E462-G462</x:f>
        <x:v>-84.80000000000001</x:v>
      </x:c>
      <x:c r="I462" s="29" t="n">
        <x:v>0</x:v>
      </x:c>
      <x:c r="J462" s="28" t="n">
        <x:f>H462+I462</x:f>
        <x:v>-84.80000000000001</x:v>
      </x:c>
      <x:c r="K462" s="26" t="str">
        <x:v>Projection-only v1.0</x:v>
      </x:c>
      <x:c r="L462" s="26" t="n">
        <x:f>RANK.EQ(J462,$J$5:$J$619,0)</x:f>
        <x:v>275</x:v>
      </x:c>
      <x:c r="M462" s="26" t="str">
        <x:f>IF(I462=0,"PROJECTION ONLY","EDITORIAL ADJUSTMENT")</x:f>
        <x:v>PROJECTION ONLY</x:v>
      </x:c>
    </x:row>
    <x:row r="463">
      <x:c r="A463" s="26" t="str">
        <x:v>TE</x:v>
      </x:c>
      <x:c r="B463" s="26" t="n">
        <x:v>36</x:v>
      </x:c>
      <x:c r="C463" s="26" t="str">
        <x:v>Colby Parkinson</x:v>
      </x:c>
      <x:c r="D463" s="26" t="str">
        <x:v>LAR</x:v>
      </x:c>
      <x:c r="E463" s="28" t="n">
        <x:v>57.6</x:v>
      </x:c>
      <x:c r="F463" s="28" t="str">
        <x:v>TE|36</x:v>
      </x:c>
      <x:c r="G463" s="28" t="n">
        <x:f>XLOOKUP(A463,'Assumptions'!$A$12:$A$15,'Assumptions'!$C$12:$C$15)</x:f>
        <x:v>143.3</x:v>
      </x:c>
      <x:c r="H463" s="28" t="n">
        <x:f>E463-G463</x:f>
        <x:v>-85.70000000000002</x:v>
      </x:c>
      <x:c r="I463" s="29" t="n">
        <x:v>0</x:v>
      </x:c>
      <x:c r="J463" s="28" t="n">
        <x:f>H463+I463</x:f>
        <x:v>-85.70000000000002</x:v>
      </x:c>
      <x:c r="K463" s="26" t="str">
        <x:v>Projection-only v1.0</x:v>
      </x:c>
      <x:c r="L463" s="26" t="n">
        <x:f>RANK.EQ(J463,$J$5:$J$619,0)</x:f>
        <x:v>278</x:v>
      </x:c>
      <x:c r="M463" s="26" t="str">
        <x:f>IF(I463=0,"PROJECTION ONLY","EDITORIAL ADJUSTMENT")</x:f>
        <x:v>PROJECTION ONLY</x:v>
      </x:c>
    </x:row>
    <x:row r="464">
      <x:c r="A464" s="26" t="str">
        <x:v>TE</x:v>
      </x:c>
      <x:c r="B464" s="26" t="n">
        <x:v>37</x:v>
      </x:c>
      <x:c r="C464" s="26" t="str">
        <x:v>Jake Tonges</x:v>
      </x:c>
      <x:c r="D464" s="26" t="str">
        <x:v>SF</x:v>
      </x:c>
      <x:c r="E464" s="28" t="n">
        <x:v>49.4</x:v>
      </x:c>
      <x:c r="F464" s="28" t="str">
        <x:v>TE|37</x:v>
      </x:c>
      <x:c r="G464" s="28" t="n">
        <x:f>XLOOKUP(A464,'Assumptions'!$A$12:$A$15,'Assumptions'!$C$12:$C$15)</x:f>
        <x:v>143.3</x:v>
      </x:c>
      <x:c r="H464" s="28" t="n">
        <x:f>E464-G464</x:f>
        <x:v>-93.9</x:v>
      </x:c>
      <x:c r="I464" s="29" t="n">
        <x:v>0</x:v>
      </x:c>
      <x:c r="J464" s="28" t="n">
        <x:f>H464+I464</x:f>
        <x:v>-93.9</x:v>
      </x:c>
      <x:c r="K464" s="26" t="str">
        <x:v>Projection-only v1.0</x:v>
      </x:c>
      <x:c r="L464" s="26" t="n">
        <x:f>RANK.EQ(J464,$J$5:$J$619,0)</x:f>
        <x:v>297</x:v>
      </x:c>
      <x:c r="M464" s="26" t="str">
        <x:f>IF(I464=0,"PROJECTION ONLY","EDITORIAL ADJUSTMENT")</x:f>
        <x:v>PROJECTION ONLY</x:v>
      </x:c>
    </x:row>
    <x:row r="465">
      <x:c r="A465" s="26" t="str">
        <x:v>TE</x:v>
      </x:c>
      <x:c r="B465" s="26" t="n">
        <x:v>38</x:v>
      </x:c>
      <x:c r="C465" s="26" t="str">
        <x:v>Tyler Higbee</x:v>
      </x:c>
      <x:c r="D465" s="26" t="str">
        <x:v>LAR</x:v>
      </x:c>
      <x:c r="E465" s="28" t="n">
        <x:v>49.6</x:v>
      </x:c>
      <x:c r="F465" s="28" t="str">
        <x:v>TE|38</x:v>
      </x:c>
      <x:c r="G465" s="28" t="n">
        <x:f>XLOOKUP(A465,'Assumptions'!$A$12:$A$15,'Assumptions'!$C$12:$C$15)</x:f>
        <x:v>143.3</x:v>
      </x:c>
      <x:c r="H465" s="28" t="n">
        <x:f>E465-G465</x:f>
        <x:v>-93.70000000000002</x:v>
      </x:c>
      <x:c r="I465" s="29" t="n">
        <x:v>0</x:v>
      </x:c>
      <x:c r="J465" s="28" t="n">
        <x:f>H465+I465</x:f>
        <x:v>-93.70000000000002</x:v>
      </x:c>
      <x:c r="K465" s="26" t="str">
        <x:v>Projection-only v1.0</x:v>
      </x:c>
      <x:c r="L465" s="26" t="n">
        <x:f>RANK.EQ(J465,$J$5:$J$619,0)</x:f>
        <x:v>295</x:v>
      </x:c>
      <x:c r="M465" s="26" t="str">
        <x:f>IF(I465=0,"PROJECTION ONLY","EDITORIAL ADJUSTMENT")</x:f>
        <x:v>PROJECTION ONLY</x:v>
      </x:c>
    </x:row>
    <x:row r="466">
      <x:c r="A466" s="26" t="str">
        <x:v>TE</x:v>
      </x:c>
      <x:c r="B466" s="26" t="n">
        <x:v>39</x:v>
      </x:c>
      <x:c r="C466" s="26" t="str">
        <x:v>Noah Fant</x:v>
      </x:c>
      <x:c r="D466" s="26" t="str">
        <x:v>NO</x:v>
      </x:c>
      <x:c r="E466" s="28" t="n">
        <x:v>42.4</x:v>
      </x:c>
      <x:c r="F466" s="28" t="str">
        <x:v>TE|39</x:v>
      </x:c>
      <x:c r="G466" s="28" t="n">
        <x:f>XLOOKUP(A466,'Assumptions'!$A$12:$A$15,'Assumptions'!$C$12:$C$15)</x:f>
        <x:v>143.3</x:v>
      </x:c>
      <x:c r="H466" s="28" t="n">
        <x:f>E466-G466</x:f>
        <x:v>-100.9</x:v>
      </x:c>
      <x:c r="I466" s="29" t="n">
        <x:v>0</x:v>
      </x:c>
      <x:c r="J466" s="28" t="n">
        <x:f>H466+I466</x:f>
        <x:v>-100.9</x:v>
      </x:c>
      <x:c r="K466" s="26" t="str">
        <x:v>Projection-only v1.0</x:v>
      </x:c>
      <x:c r="L466" s="26" t="n">
        <x:f>RANK.EQ(J466,$J$5:$J$619,0)</x:f>
        <x:v>328</x:v>
      </x:c>
      <x:c r="M466" s="26" t="str">
        <x:f>IF(I466=0,"PROJECTION ONLY","EDITORIAL ADJUSTMENT")</x:f>
        <x:v>PROJECTION ONLY</x:v>
      </x:c>
    </x:row>
    <x:row r="467">
      <x:c r="A467" s="26" t="str">
        <x:v>TE</x:v>
      </x:c>
      <x:c r="B467" s="26" t="n">
        <x:v>40</x:v>
      </x:c>
      <x:c r="C467" s="26" t="str">
        <x:v>Daniel Bellinger</x:v>
      </x:c>
      <x:c r="D467" s="26" t="str">
        <x:v>TEN</x:v>
      </x:c>
      <x:c r="E467" s="28" t="n">
        <x:v>42</x:v>
      </x:c>
      <x:c r="F467" s="28" t="str">
        <x:v>TE|40</x:v>
      </x:c>
      <x:c r="G467" s="28" t="n">
        <x:f>XLOOKUP(A467,'Assumptions'!$A$12:$A$15,'Assumptions'!$C$12:$C$15)</x:f>
        <x:v>143.3</x:v>
      </x:c>
      <x:c r="H467" s="28" t="n">
        <x:f>E467-G467</x:f>
        <x:v>-101.30000000000001</x:v>
      </x:c>
      <x:c r="I467" s="29" t="n">
        <x:v>0</x:v>
      </x:c>
      <x:c r="J467" s="28" t="n">
        <x:f>H467+I467</x:f>
        <x:v>-101.30000000000001</x:v>
      </x:c>
      <x:c r="K467" s="26" t="str">
        <x:v>Projection-only v1.0</x:v>
      </x:c>
      <x:c r="L467" s="26" t="n">
        <x:f>RANK.EQ(J467,$J$5:$J$619,0)</x:f>
        <x:v>332</x:v>
      </x:c>
      <x:c r="M467" s="26" t="str">
        <x:f>IF(I467=0,"PROJECTION ONLY","EDITORIAL ADJUSTMENT")</x:f>
        <x:v>PROJECTION ONLY</x:v>
      </x:c>
    </x:row>
    <x:row r="468">
      <x:c r="A468" s="26" t="str">
        <x:v>TE</x:v>
      </x:c>
      <x:c r="B468" s="26" t="n">
        <x:v>41</x:v>
      </x:c>
      <x:c r="C468" s="26" t="str">
        <x:v>Tommy Tremble</x:v>
      </x:c>
      <x:c r="D468" s="26" t="str">
        <x:v>CAR</x:v>
      </x:c>
      <x:c r="E468" s="28" t="n">
        <x:v>37.7</x:v>
      </x:c>
      <x:c r="F468" s="28" t="str">
        <x:v>TE|41</x:v>
      </x:c>
      <x:c r="G468" s="28" t="n">
        <x:f>XLOOKUP(A468,'Assumptions'!$A$12:$A$15,'Assumptions'!$C$12:$C$15)</x:f>
        <x:v>143.3</x:v>
      </x:c>
      <x:c r="H468" s="28" t="n">
        <x:f>E468-G468</x:f>
        <x:v>-105.60000000000001</x:v>
      </x:c>
      <x:c r="I468" s="29" t="n">
        <x:v>0</x:v>
      </x:c>
      <x:c r="J468" s="28" t="n">
        <x:f>H468+I468</x:f>
        <x:v>-105.60000000000001</x:v>
      </x:c>
      <x:c r="K468" s="26" t="str">
        <x:v>Projection-only v1.0</x:v>
      </x:c>
      <x:c r="L468" s="26" t="n">
        <x:f>RANK.EQ(J468,$J$5:$J$619,0)</x:f>
        <x:v>370</x:v>
      </x:c>
      <x:c r="M468" s="26" t="str">
        <x:f>IF(I468=0,"PROJECTION ONLY","EDITORIAL ADJUSTMENT")</x:f>
        <x:v>PROJECTION ONLY</x:v>
      </x:c>
    </x:row>
    <x:row r="469">
      <x:c r="A469" s="26" t="str">
        <x:v>TE</x:v>
      </x:c>
      <x:c r="B469" s="26" t="n">
        <x:v>42</x:v>
      </x:c>
      <x:c r="C469" s="26" t="str">
        <x:v>Josh Oliver</x:v>
      </x:c>
      <x:c r="D469" s="26" t="str">
        <x:v>MIN</x:v>
      </x:c>
      <x:c r="E469" s="28" t="n">
        <x:v>37.9</x:v>
      </x:c>
      <x:c r="F469" s="28" t="str">
        <x:v>TE|42</x:v>
      </x:c>
      <x:c r="G469" s="28" t="n">
        <x:f>XLOOKUP(A469,'Assumptions'!$A$12:$A$15,'Assumptions'!$C$12:$C$15)</x:f>
        <x:v>143.3</x:v>
      </x:c>
      <x:c r="H469" s="28" t="n">
        <x:f>E469-G469</x:f>
        <x:v>-105.4</x:v>
      </x:c>
      <x:c r="I469" s="29" t="n">
        <x:v>0</x:v>
      </x:c>
      <x:c r="J469" s="28" t="n">
        <x:f>H469+I469</x:f>
        <x:v>-105.4</x:v>
      </x:c>
      <x:c r="K469" s="26" t="str">
        <x:v>Projection-only v1.0</x:v>
      </x:c>
      <x:c r="L469" s="26" t="n">
        <x:f>RANK.EQ(J469,$J$5:$J$619,0)</x:f>
        <x:v>367</x:v>
      </x:c>
      <x:c r="M469" s="26" t="str">
        <x:f>IF(I469=0,"PROJECTION ONLY","EDITORIAL ADJUSTMENT")</x:f>
        <x:v>PROJECTION ONLY</x:v>
      </x:c>
    </x:row>
    <x:row r="470">
      <x:c r="A470" s="26" t="str">
        <x:v>TE</x:v>
      </x:c>
      <x:c r="B470" s="26" t="n">
        <x:v>43</x:v>
      </x:c>
      <x:c r="C470" s="26" t="str">
        <x:v>Ja'Tavion Sanders</x:v>
      </x:c>
      <x:c r="D470" s="26" t="str">
        <x:v>CAR</x:v>
      </x:c>
      <x:c r="E470" s="28" t="n">
        <x:v>35.7</x:v>
      </x:c>
      <x:c r="F470" s="28" t="str">
        <x:v>TE|43</x:v>
      </x:c>
      <x:c r="G470" s="28" t="n">
        <x:f>XLOOKUP(A470,'Assumptions'!$A$12:$A$15,'Assumptions'!$C$12:$C$15)</x:f>
        <x:v>143.3</x:v>
      </x:c>
      <x:c r="H470" s="28" t="n">
        <x:f>E470-G470</x:f>
        <x:v>-107.60000000000001</x:v>
      </x:c>
      <x:c r="I470" s="29" t="n">
        <x:v>0</x:v>
      </x:c>
      <x:c r="J470" s="28" t="n">
        <x:f>H470+I470</x:f>
        <x:v>-107.60000000000001</x:v>
      </x:c>
      <x:c r="K470" s="26" t="str">
        <x:v>Projection-only v1.0</x:v>
      </x:c>
      <x:c r="L470" s="26" t="n">
        <x:f>RANK.EQ(J470,$J$5:$J$619,0)</x:f>
        <x:v>386</x:v>
      </x:c>
      <x:c r="M470" s="26" t="str">
        <x:f>IF(I470=0,"PROJECTION ONLY","EDITORIAL ADJUSTMENT")</x:f>
        <x:v>PROJECTION ONLY</x:v>
      </x:c>
    </x:row>
    <x:row r="471">
      <x:c r="A471" s="26" t="str">
        <x:v>TE</x:v>
      </x:c>
      <x:c r="B471" s="26" t="n">
        <x:v>44</x:v>
      </x:c>
      <x:c r="C471" s="26" t="str">
        <x:v>Noah Gray</x:v>
      </x:c>
      <x:c r="D471" s="26" t="str">
        <x:v>KC</x:v>
      </x:c>
      <x:c r="E471" s="28" t="n">
        <x:v>36.1</x:v>
      </x:c>
      <x:c r="F471" s="28" t="str">
        <x:v>TE|44</x:v>
      </x:c>
      <x:c r="G471" s="28" t="n">
        <x:f>XLOOKUP(A471,'Assumptions'!$A$12:$A$15,'Assumptions'!$C$12:$C$15)</x:f>
        <x:v>143.3</x:v>
      </x:c>
      <x:c r="H471" s="28" t="n">
        <x:f>E471-G471</x:f>
        <x:v>-107.20000000000002</x:v>
      </x:c>
      <x:c r="I471" s="29" t="n">
        <x:v>0</x:v>
      </x:c>
      <x:c r="J471" s="28" t="n">
        <x:f>H471+I471</x:f>
        <x:v>-107.20000000000002</x:v>
      </x:c>
      <x:c r="K471" s="26" t="str">
        <x:v>Projection-only v1.0</x:v>
      </x:c>
      <x:c r="L471" s="26" t="n">
        <x:f>RANK.EQ(J471,$J$5:$J$619,0)</x:f>
        <x:v>383</x:v>
      </x:c>
      <x:c r="M471" s="26" t="str">
        <x:f>IF(I471=0,"PROJECTION ONLY","EDITORIAL ADJUSTMENT")</x:f>
        <x:v>PROJECTION ONLY</x:v>
      </x:c>
    </x:row>
    <x:row r="472">
      <x:c r="A472" s="26" t="str">
        <x:v>TE</x:v>
      </x:c>
      <x:c r="B472" s="26" t="n">
        <x:v>45</x:v>
      </x:c>
      <x:c r="C472" s="26" t="str">
        <x:v>Elijah Arroyo</x:v>
      </x:c>
      <x:c r="D472" s="26" t="str">
        <x:v>SEA</x:v>
      </x:c>
      <x:c r="E472" s="28" t="n">
        <x:v>33.9</x:v>
      </x:c>
      <x:c r="F472" s="28" t="str">
        <x:v>TE|45</x:v>
      </x:c>
      <x:c r="G472" s="28" t="n">
        <x:f>XLOOKUP(A472,'Assumptions'!$A$12:$A$15,'Assumptions'!$C$12:$C$15)</x:f>
        <x:v>143.3</x:v>
      </x:c>
      <x:c r="H472" s="28" t="n">
        <x:f>E472-G472</x:f>
        <x:v>-109.4</x:v>
      </x:c>
      <x:c r="I472" s="29" t="n">
        <x:v>0</x:v>
      </x:c>
      <x:c r="J472" s="28" t="n">
        <x:f>H472+I472</x:f>
        <x:v>-109.4</x:v>
      </x:c>
      <x:c r="K472" s="26" t="str">
        <x:v>Projection-only v1.0</x:v>
      </x:c>
      <x:c r="L472" s="26" t="n">
        <x:f>RANK.EQ(J472,$J$5:$J$619,0)</x:f>
        <x:v>397</x:v>
      </x:c>
      <x:c r="M472" s="26" t="str">
        <x:f>IF(I472=0,"PROJECTION ONLY","EDITORIAL ADJUSTMENT")</x:f>
        <x:v>PROJECTION ONLY</x:v>
      </x:c>
    </x:row>
    <x:row r="473">
      <x:c r="A473" s="26" t="str">
        <x:v>TE</x:v>
      </x:c>
      <x:c r="B473" s="26" t="n">
        <x:v>46</x:v>
      </x:c>
      <x:c r="C473" s="26" t="str">
        <x:v>Austin Hooper</x:v>
      </x:c>
      <x:c r="D473" s="26" t="str">
        <x:v>ATL</x:v>
      </x:c>
      <x:c r="E473" s="28" t="n">
        <x:v>32.6</x:v>
      </x:c>
      <x:c r="F473" s="28" t="str">
        <x:v>TE|46</x:v>
      </x:c>
      <x:c r="G473" s="28" t="n">
        <x:f>XLOOKUP(A473,'Assumptions'!$A$12:$A$15,'Assumptions'!$C$12:$C$15)</x:f>
        <x:v>143.3</x:v>
      </x:c>
      <x:c r="H473" s="28" t="n">
        <x:f>E473-G473</x:f>
        <x:v>-110.70000000000002</x:v>
      </x:c>
      <x:c r="I473" s="29" t="n">
        <x:v>0</x:v>
      </x:c>
      <x:c r="J473" s="28" t="n">
        <x:f>H473+I473</x:f>
        <x:v>-110.70000000000002</x:v>
      </x:c>
      <x:c r="K473" s="26" t="str">
        <x:v>Projection-only v1.0</x:v>
      </x:c>
      <x:c r="L473" s="26" t="n">
        <x:f>RANK.EQ(J473,$J$5:$J$619,0)</x:f>
        <x:v>453</x:v>
      </x:c>
      <x:c r="M473" s="26" t="str">
        <x:f>IF(I473=0,"PROJECTION ONLY","EDITORIAL ADJUSTMENT")</x:f>
        <x:v>PROJECTION ONLY</x:v>
      </x:c>
    </x:row>
    <x:row r="474">
      <x:c r="A474" s="26" t="str">
        <x:v>TE</x:v>
      </x:c>
      <x:c r="B474" s="26" t="n">
        <x:v>47</x:v>
      </x:c>
      <x:c r="C474" s="26" t="str">
        <x:v>Brock Wright</x:v>
      </x:c>
      <x:c r="D474" s="26" t="str">
        <x:v>DET</x:v>
      </x:c>
      <x:c r="E474" s="28" t="n">
        <x:v>30.9</x:v>
      </x:c>
      <x:c r="F474" s="28" t="str">
        <x:v>TE|47</x:v>
      </x:c>
      <x:c r="G474" s="28" t="n">
        <x:f>XLOOKUP(A474,'Assumptions'!$A$12:$A$15,'Assumptions'!$C$12:$C$15)</x:f>
        <x:v>143.3</x:v>
      </x:c>
      <x:c r="H474" s="28" t="n">
        <x:f>E474-G474</x:f>
        <x:v>-112.4</x:v>
      </x:c>
      <x:c r="I474" s="29" t="n">
        <x:v>0</x:v>
      </x:c>
      <x:c r="J474" s="28" t="n">
        <x:f>H474+I474</x:f>
        <x:v>-112.4</x:v>
      </x:c>
      <x:c r="K474" s="26" t="str">
        <x:v>Projection-only v1.0</x:v>
      </x:c>
      <x:c r="L474" s="26" t="n">
        <x:f>RANK.EQ(J474,$J$5:$J$619,0)</x:f>
        <x:v>456</x:v>
      </x:c>
      <x:c r="M474" s="26" t="str">
        <x:f>IF(I474=0,"PROJECTION ONLY","EDITORIAL ADJUSTMENT")</x:f>
        <x:v>PROJECTION ONLY</x:v>
      </x:c>
    </x:row>
    <x:row r="475">
      <x:c r="A475" s="26" t="str">
        <x:v>TE</x:v>
      </x:c>
      <x:c r="B475" s="26" t="n">
        <x:v>48</x:v>
      </x:c>
      <x:c r="C475" s="26" t="str">
        <x:v>Cole Kmet</x:v>
      </x:c>
      <x:c r="D475" s="26" t="str">
        <x:v>CHI</x:v>
      </x:c>
      <x:c r="E475" s="28" t="n">
        <x:v>29.9</x:v>
      </x:c>
      <x:c r="F475" s="28" t="str">
        <x:v>TE|48</x:v>
      </x:c>
      <x:c r="G475" s="28" t="n">
        <x:f>XLOOKUP(A475,'Assumptions'!$A$12:$A$15,'Assumptions'!$C$12:$C$15)</x:f>
        <x:v>143.3</x:v>
      </x:c>
      <x:c r="H475" s="28" t="n">
        <x:f>E475-G475</x:f>
        <x:v>-113.4</x:v>
      </x:c>
      <x:c r="I475" s="29" t="n">
        <x:v>0</x:v>
      </x:c>
      <x:c r="J475" s="28" t="n">
        <x:f>H475+I475</x:f>
        <x:v>-113.4</x:v>
      </x:c>
      <x:c r="K475" s="26" t="str">
        <x:v>Projection-only v1.0</x:v>
      </x:c>
      <x:c r="L475" s="26" t="n">
        <x:f>RANK.EQ(J475,$J$5:$J$619,0)</x:f>
        <x:v>457</x:v>
      </x:c>
      <x:c r="M475" s="26" t="str">
        <x:f>IF(I475=0,"PROJECTION ONLY","EDITORIAL ADJUSTMENT")</x:f>
        <x:v>PROJECTION ONLY</x:v>
      </x:c>
    </x:row>
    <x:row r="476">
      <x:c r="A476" s="26" t="str">
        <x:v>TE</x:v>
      </x:c>
      <x:c r="B476" s="26" t="n">
        <x:v>49</x:v>
      </x:c>
      <x:c r="C476" s="26" t="str">
        <x:v>Michael Mayer</x:v>
      </x:c>
      <x:c r="D476" s="26" t="str">
        <x:v>LV</x:v>
      </x:c>
      <x:c r="E476" s="28" t="n">
        <x:v>27.7</x:v>
      </x:c>
      <x:c r="F476" s="28" t="str">
        <x:v>TE|49</x:v>
      </x:c>
      <x:c r="G476" s="28" t="n">
        <x:f>XLOOKUP(A476,'Assumptions'!$A$12:$A$15,'Assumptions'!$C$12:$C$15)</x:f>
        <x:v>143.3</x:v>
      </x:c>
      <x:c r="H476" s="28" t="n">
        <x:f>E476-G476</x:f>
        <x:v>-115.60000000000001</x:v>
      </x:c>
      <x:c r="I476" s="29" t="n">
        <x:v>0</x:v>
      </x:c>
      <x:c r="J476" s="28" t="n">
        <x:f>H476+I476</x:f>
        <x:v>-115.60000000000001</x:v>
      </x:c>
      <x:c r="K476" s="26" t="str">
        <x:v>Projection-only v1.0</x:v>
      </x:c>
      <x:c r="L476" s="26" t="n">
        <x:f>RANK.EQ(J476,$J$5:$J$619,0)</x:f>
        <x:v>459</x:v>
      </x:c>
      <x:c r="M476" s="26" t="str">
        <x:f>IF(I476=0,"PROJECTION ONLY","EDITORIAL ADJUSTMENT")</x:f>
        <x:v>PROJECTION ONLY</x:v>
      </x:c>
    </x:row>
    <x:row r="477">
      <x:c r="A477" s="26" t="str">
        <x:v>TE</x:v>
      </x:c>
      <x:c r="B477" s="26" t="n">
        <x:v>50</x:v>
      </x:c>
      <x:c r="C477" s="26" t="str">
        <x:v>Marlin Klein</x:v>
      </x:c>
      <x:c r="D477" s="26" t="str">
        <x:v>HOU</x:v>
      </x:c>
      <x:c r="E477" s="28" t="n">
        <x:v>27.7</x:v>
      </x:c>
      <x:c r="F477" s="28" t="str">
        <x:v>TE|50</x:v>
      </x:c>
      <x:c r="G477" s="28" t="n">
        <x:f>XLOOKUP(A477,'Assumptions'!$A$12:$A$15,'Assumptions'!$C$12:$C$15)</x:f>
        <x:v>143.3</x:v>
      </x:c>
      <x:c r="H477" s="28" t="n">
        <x:f>E477-G477</x:f>
        <x:v>-115.60000000000001</x:v>
      </x:c>
      <x:c r="I477" s="29" t="n">
        <x:v>0</x:v>
      </x:c>
      <x:c r="J477" s="28" t="n">
        <x:f>H477+I477</x:f>
        <x:v>-115.60000000000001</x:v>
      </x:c>
      <x:c r="K477" s="26" t="str">
        <x:v>Projection-only v1.0</x:v>
      </x:c>
      <x:c r="L477" s="26" t="n">
        <x:f>RANK.EQ(J477,$J$5:$J$619,0)</x:f>
        <x:v>459</x:v>
      </x:c>
      <x:c r="M477" s="26" t="str">
        <x:f>IF(I477=0,"PROJECTION ONLY","EDITORIAL ADJUSTMENT")</x:f>
        <x:v>PROJECTION ONLY</x:v>
      </x:c>
    </x:row>
    <x:row r="478">
      <x:c r="A478" s="26" t="str">
        <x:v>TE</x:v>
      </x:c>
      <x:c r="B478" s="26" t="n">
        <x:v>51</x:v>
      </x:c>
      <x:c r="C478" s="26" t="str">
        <x:v>Theo Johnson</x:v>
      </x:c>
      <x:c r="D478" s="26" t="str">
        <x:v>NYG</x:v>
      </x:c>
      <x:c r="E478" s="28" t="n">
        <x:v>24.3</x:v>
      </x:c>
      <x:c r="F478" s="28" t="str">
        <x:v>TE|51</x:v>
      </x:c>
      <x:c r="G478" s="28" t="n">
        <x:f>XLOOKUP(A478,'Assumptions'!$A$12:$A$15,'Assumptions'!$C$12:$C$15)</x:f>
        <x:v>143.3</x:v>
      </x:c>
      <x:c r="H478" s="28" t="n">
        <x:f>E478-G478</x:f>
        <x:v>-119.00000000000001</x:v>
      </x:c>
      <x:c r="I478" s="29" t="n">
        <x:v>0</x:v>
      </x:c>
      <x:c r="J478" s="28" t="n">
        <x:f>H478+I478</x:f>
        <x:v>-119.00000000000001</x:v>
      </x:c>
      <x:c r="K478" s="26" t="str">
        <x:v>Projection-only v1.0</x:v>
      </x:c>
      <x:c r="L478" s="26" t="n">
        <x:f>RANK.EQ(J478,$J$5:$J$619,0)</x:f>
        <x:v>471</x:v>
      </x:c>
      <x:c r="M478" s="26" t="str">
        <x:f>IF(I478=0,"PROJECTION ONLY","EDITORIAL ADJUSTMENT")</x:f>
        <x:v>PROJECTION ONLY</x:v>
      </x:c>
    </x:row>
    <x:row r="479">
      <x:c r="A479" s="26" t="str">
        <x:v>TE</x:v>
      </x:c>
      <x:c r="B479" s="26" t="n">
        <x:v>52</x:v>
      </x:c>
      <x:c r="C479" s="26" t="str">
        <x:v>Erick All Jr.</x:v>
      </x:c>
      <x:c r="D479" s="26" t="str">
        <x:v>CIN</x:v>
      </x:c>
      <x:c r="E479" s="28" t="n">
        <x:v>22.7</x:v>
      </x:c>
      <x:c r="F479" s="28" t="str">
        <x:v>TE|52</x:v>
      </x:c>
      <x:c r="G479" s="28" t="n">
        <x:f>XLOOKUP(A479,'Assumptions'!$A$12:$A$15,'Assumptions'!$C$12:$C$15)</x:f>
        <x:v>143.3</x:v>
      </x:c>
      <x:c r="H479" s="28" t="n">
        <x:f>E479-G479</x:f>
        <x:v>-120.60000000000001</x:v>
      </x:c>
      <x:c r="I479" s="29" t="n">
        <x:v>0</x:v>
      </x:c>
      <x:c r="J479" s="28" t="n">
        <x:f>H479+I479</x:f>
        <x:v>-120.60000000000001</x:v>
      </x:c>
      <x:c r="K479" s="26" t="str">
        <x:v>Projection-only v1.0</x:v>
      </x:c>
      <x:c r="L479" s="26" t="n">
        <x:f>RANK.EQ(J479,$J$5:$J$619,0)</x:f>
        <x:v>475</x:v>
      </x:c>
      <x:c r="M479" s="26" t="str">
        <x:f>IF(I479=0,"PROJECTION ONLY","EDITORIAL ADJUSTMENT")</x:f>
        <x:v>PROJECTION ONLY</x:v>
      </x:c>
    </x:row>
    <x:row r="480">
      <x:c r="A480" s="26" t="str">
        <x:v>TE</x:v>
      </x:c>
      <x:c r="B480" s="26" t="n">
        <x:v>53</x:v>
      </x:c>
      <x:c r="C480" s="26" t="str">
        <x:v>Luke Musgrave</x:v>
      </x:c>
      <x:c r="D480" s="26" t="str">
        <x:v>GB</x:v>
      </x:c>
      <x:c r="E480" s="28" t="n">
        <x:v>22.9</x:v>
      </x:c>
      <x:c r="F480" s="28" t="str">
        <x:v>TE|53</x:v>
      </x:c>
      <x:c r="G480" s="28" t="n">
        <x:f>XLOOKUP(A480,'Assumptions'!$A$12:$A$15,'Assumptions'!$C$12:$C$15)</x:f>
        <x:v>143.3</x:v>
      </x:c>
      <x:c r="H480" s="28" t="n">
        <x:f>E480-G480</x:f>
        <x:v>-120.4</x:v>
      </x:c>
      <x:c r="I480" s="29" t="n">
        <x:v>0</x:v>
      </x:c>
      <x:c r="J480" s="28" t="n">
        <x:f>H480+I480</x:f>
        <x:v>-120.4</x:v>
      </x:c>
      <x:c r="K480" s="26" t="str">
        <x:v>Projection-only v1.0</x:v>
      </x:c>
      <x:c r="L480" s="26" t="n">
        <x:f>RANK.EQ(J480,$J$5:$J$619,0)</x:f>
        <x:v>473</x:v>
      </x:c>
      <x:c r="M480" s="26" t="str">
        <x:f>IF(I480=0,"PROJECTION ONLY","EDITORIAL ADJUSTMENT")</x:f>
        <x:v>PROJECTION ONLY</x:v>
      </x:c>
    </x:row>
    <x:row r="481">
      <x:c r="A481" s="26" t="str">
        <x:v>TE</x:v>
      </x:c>
      <x:c r="B481" s="26" t="n">
        <x:v>54</x:v>
      </x:c>
      <x:c r="C481" s="26" t="str">
        <x:v>Eli Stowers</x:v>
      </x:c>
      <x:c r="D481" s="26" t="str">
        <x:v>PHI</x:v>
      </x:c>
      <x:c r="E481" s="28" t="n">
        <x:v>21.4</x:v>
      </x:c>
      <x:c r="F481" s="28" t="str">
        <x:v>TE|54</x:v>
      </x:c>
      <x:c r="G481" s="28" t="n">
        <x:f>XLOOKUP(A481,'Assumptions'!$A$12:$A$15,'Assumptions'!$C$12:$C$15)</x:f>
        <x:v>143.3</x:v>
      </x:c>
      <x:c r="H481" s="28" t="n">
        <x:f>E481-G481</x:f>
        <x:v>-121.9</x:v>
      </x:c>
      <x:c r="I481" s="29" t="n">
        <x:v>0</x:v>
      </x:c>
      <x:c r="J481" s="28" t="n">
        <x:f>H481+I481</x:f>
        <x:v>-121.9</x:v>
      </x:c>
      <x:c r="K481" s="26" t="str">
        <x:v>Projection-only v1.0</x:v>
      </x:c>
      <x:c r="L481" s="26" t="n">
        <x:f>RANK.EQ(J481,$J$5:$J$619,0)</x:f>
        <x:v>480</x:v>
      </x:c>
      <x:c r="M481" s="26" t="str">
        <x:f>IF(I481=0,"PROJECTION ONLY","EDITORIAL ADJUSTMENT")</x:f>
        <x:v>PROJECTION ONLY</x:v>
      </x:c>
    </x:row>
    <x:row r="482">
      <x:c r="A482" s="26" t="str">
        <x:v>TE</x:v>
      </x:c>
      <x:c r="B482" s="26" t="n">
        <x:v>55</x:v>
      </x:c>
      <x:c r="C482" s="26" t="str">
        <x:v>Eli Raridon</x:v>
      </x:c>
      <x:c r="D482" s="26" t="str">
        <x:v>NE</x:v>
      </x:c>
      <x:c r="E482" s="28" t="n">
        <x:v>21</x:v>
      </x:c>
      <x:c r="F482" s="28" t="str">
        <x:v>TE|55</x:v>
      </x:c>
      <x:c r="G482" s="28" t="n">
        <x:f>XLOOKUP(A482,'Assumptions'!$A$12:$A$15,'Assumptions'!$C$12:$C$15)</x:f>
        <x:v>143.3</x:v>
      </x:c>
      <x:c r="H482" s="28" t="n">
        <x:f>E482-G482</x:f>
        <x:v>-122.30000000000001</x:v>
      </x:c>
      <x:c r="I482" s="29" t="n">
        <x:v>0</x:v>
      </x:c>
      <x:c r="J482" s="28" t="n">
        <x:f>H482+I482</x:f>
        <x:v>-122.30000000000001</x:v>
      </x:c>
      <x:c r="K482" s="26" t="str">
        <x:v>Projection-only v1.0</x:v>
      </x:c>
      <x:c r="L482" s="26" t="n">
        <x:f>RANK.EQ(J482,$J$5:$J$619,0)</x:f>
        <x:v>483</x:v>
      </x:c>
      <x:c r="M482" s="26" t="str">
        <x:f>IF(I482=0,"PROJECTION ONLY","EDITORIAL ADJUSTMENT")</x:f>
        <x:v>PROJECTION ONLY</x:v>
      </x:c>
    </x:row>
    <x:row r="483">
      <x:c r="A483" s="26" t="str">
        <x:v>TE</x:v>
      </x:c>
      <x:c r="B483" s="26" t="n">
        <x:v>56</x:v>
      </x:c>
      <x:c r="C483" s="26" t="str">
        <x:v>Will Kacmarek</x:v>
      </x:c>
      <x:c r="D483" s="26" t="str">
        <x:v>MIA</x:v>
      </x:c>
      <x:c r="E483" s="28" t="n">
        <x:v>19.1</x:v>
      </x:c>
      <x:c r="F483" s="28" t="str">
        <x:v>TE|56</x:v>
      </x:c>
      <x:c r="G483" s="28" t="n">
        <x:f>XLOOKUP(A483,'Assumptions'!$A$12:$A$15,'Assumptions'!$C$12:$C$15)</x:f>
        <x:v>143.3</x:v>
      </x:c>
      <x:c r="H483" s="28" t="n">
        <x:f>E483-G483</x:f>
        <x:v>-124.20000000000002</x:v>
      </x:c>
      <x:c r="I483" s="29" t="n">
        <x:v>0</x:v>
      </x:c>
      <x:c r="J483" s="28" t="n">
        <x:f>H483+I483</x:f>
        <x:v>-124.20000000000002</x:v>
      </x:c>
      <x:c r="K483" s="26" t="str">
        <x:v>Projection-only v1.0</x:v>
      </x:c>
      <x:c r="L483" s="26" t="n">
        <x:f>RANK.EQ(J483,$J$5:$J$619,0)</x:f>
        <x:v>486</x:v>
      </x:c>
      <x:c r="M483" s="26" t="str">
        <x:f>IF(I483=0,"PROJECTION ONLY","EDITORIAL ADJUSTMENT")</x:f>
        <x:v>PROJECTION ONLY</x:v>
      </x:c>
    </x:row>
    <x:row r="484">
      <x:c r="A484" s="26" t="str">
        <x:v>TE</x:v>
      </x:c>
      <x:c r="B484" s="26" t="n">
        <x:v>57</x:v>
      </x:c>
      <x:c r="C484" s="26" t="str">
        <x:v>Ben Sinnott</x:v>
      </x:c>
      <x:c r="D484" s="26" t="str">
        <x:v>WAS</x:v>
      </x:c>
      <x:c r="E484" s="28" t="n">
        <x:v>20</x:v>
      </x:c>
      <x:c r="F484" s="28" t="str">
        <x:v>TE|57</x:v>
      </x:c>
      <x:c r="G484" s="28" t="n">
        <x:f>XLOOKUP(A484,'Assumptions'!$A$12:$A$15,'Assumptions'!$C$12:$C$15)</x:f>
        <x:v>143.3</x:v>
      </x:c>
      <x:c r="H484" s="28" t="n">
        <x:f>E484-G484</x:f>
        <x:v>-123.30000000000001</x:v>
      </x:c>
      <x:c r="I484" s="29" t="n">
        <x:v>0</x:v>
      </x:c>
      <x:c r="J484" s="28" t="n">
        <x:f>H484+I484</x:f>
        <x:v>-123.30000000000001</x:v>
      </x:c>
      <x:c r="K484" s="26" t="str">
        <x:v>Projection-only v1.0</x:v>
      </x:c>
      <x:c r="L484" s="26" t="n">
        <x:f>RANK.EQ(J484,$J$5:$J$619,0)</x:f>
        <x:v>485</x:v>
      </x:c>
      <x:c r="M484" s="26" t="str">
        <x:f>IF(I484=0,"PROJECTION ONLY","EDITORIAL ADJUSTMENT")</x:f>
        <x:v>PROJECTION ONLY</x:v>
      </x:c>
    </x:row>
    <x:row r="485">
      <x:c r="A485" s="26" t="str">
        <x:v>TE</x:v>
      </x:c>
      <x:c r="B485" s="26" t="n">
        <x:v>58</x:v>
      </x:c>
      <x:c r="C485" s="26" t="str">
        <x:v>Nate Boerkircher</x:v>
      </x:c>
      <x:c r="D485" s="26" t="str">
        <x:v>JAX</x:v>
      </x:c>
      <x:c r="E485" s="28" t="n">
        <x:v>18.3</x:v>
      </x:c>
      <x:c r="F485" s="28" t="str">
        <x:v>TE|58</x:v>
      </x:c>
      <x:c r="G485" s="28" t="n">
        <x:f>XLOOKUP(A485,'Assumptions'!$A$12:$A$15,'Assumptions'!$C$12:$C$15)</x:f>
        <x:v>143.3</x:v>
      </x:c>
      <x:c r="H485" s="28" t="n">
        <x:f>E485-G485</x:f>
        <x:v>-125.00000000000001</x:v>
      </x:c>
      <x:c r="I485" s="29" t="n">
        <x:v>0</x:v>
      </x:c>
      <x:c r="J485" s="28" t="n">
        <x:f>H485+I485</x:f>
        <x:v>-125.00000000000001</x:v>
      </x:c>
      <x:c r="K485" s="26" t="str">
        <x:v>Projection-only v1.0</x:v>
      </x:c>
      <x:c r="L485" s="26" t="n">
        <x:f>RANK.EQ(J485,$J$5:$J$619,0)</x:f>
        <x:v>511</x:v>
      </x:c>
      <x:c r="M485" s="26" t="str">
        <x:f>IF(I485=0,"PROJECTION ONLY","EDITORIAL ADJUSTMENT")</x:f>
        <x:v>PROJECTION ONLY</x:v>
      </x:c>
    </x:row>
    <x:row r="486">
      <x:c r="A486" s="26" t="str">
        <x:v>TE</x:v>
      </x:c>
      <x:c r="B486" s="26" t="n">
        <x:v>59</x:v>
      </x:c>
      <x:c r="C486" s="26" t="str">
        <x:v>Mitchell Evans</x:v>
      </x:c>
      <x:c r="D486" s="26" t="str">
        <x:v>CAR</x:v>
      </x:c>
      <x:c r="E486" s="28" t="n">
        <x:v>16.5</x:v>
      </x:c>
      <x:c r="F486" s="28" t="str">
        <x:v>TE|59</x:v>
      </x:c>
      <x:c r="G486" s="28" t="n">
        <x:f>XLOOKUP(A486,'Assumptions'!$A$12:$A$15,'Assumptions'!$C$12:$C$15)</x:f>
        <x:v>143.3</x:v>
      </x:c>
      <x:c r="H486" s="28" t="n">
        <x:f>E486-G486</x:f>
        <x:v>-126.80000000000001</x:v>
      </x:c>
      <x:c r="I486" s="29" t="n">
        <x:v>0</x:v>
      </x:c>
      <x:c r="J486" s="28" t="n">
        <x:f>H486+I486</x:f>
        <x:v>-126.80000000000001</x:v>
      </x:c>
      <x:c r="K486" s="26" t="str">
        <x:v>Projection-only v1.0</x:v>
      </x:c>
      <x:c r="L486" s="26" t="n">
        <x:f>RANK.EQ(J486,$J$5:$J$619,0)</x:f>
        <x:v>513</x:v>
      </x:c>
      <x:c r="M486" s="26" t="str">
        <x:f>IF(I486=0,"PROJECTION ONLY","EDITORIAL ADJUSTMENT")</x:f>
        <x:v>PROJECTION ONLY</x:v>
      </x:c>
    </x:row>
    <x:row r="487">
      <x:c r="A487" s="26" t="str">
        <x:v>TE</x:v>
      </x:c>
      <x:c r="B487" s="26" t="n">
        <x:v>60</x:v>
      </x:c>
      <x:c r="C487" s="26" t="str">
        <x:v>Matt Hibner</x:v>
      </x:c>
      <x:c r="D487" s="26" t="str">
        <x:v>BAL</x:v>
      </x:c>
      <x:c r="E487" s="28" t="n">
        <x:v>16.9</x:v>
      </x:c>
      <x:c r="F487" s="28" t="str">
        <x:v>TE|60</x:v>
      </x:c>
      <x:c r="G487" s="28" t="n">
        <x:f>XLOOKUP(A487,'Assumptions'!$A$12:$A$15,'Assumptions'!$C$12:$C$15)</x:f>
        <x:v>143.3</x:v>
      </x:c>
      <x:c r="H487" s="28" t="n">
        <x:f>E487-G487</x:f>
        <x:v>-126.4</x:v>
      </x:c>
      <x:c r="I487" s="29" t="n">
        <x:v>0</x:v>
      </x:c>
      <x:c r="J487" s="28" t="n">
        <x:f>H487+I487</x:f>
        <x:v>-126.4</x:v>
      </x:c>
      <x:c r="K487" s="26" t="str">
        <x:v>Projection-only v1.0</x:v>
      </x:c>
      <x:c r="L487" s="26" t="n">
        <x:f>RANK.EQ(J487,$J$5:$J$619,0)</x:f>
        <x:v>512</x:v>
      </x:c>
      <x:c r="M487" s="26" t="str">
        <x:f>IF(I487=0,"PROJECTION ONLY","EDITORIAL ADJUSTMENT")</x:f>
        <x:v>PROJECTION ONLY</x:v>
      </x:c>
    </x:row>
    <x:row r="488">
      <x:c r="A488" s="26" t="str">
        <x:v>TE</x:v>
      </x:c>
      <x:c r="B488" s="26" t="n">
        <x:v>61</x:v>
      </x:c>
      <x:c r="C488" s="26" t="str">
        <x:v>Elijah Higgins</x:v>
      </x:c>
      <x:c r="D488" s="26" t="str">
        <x:v>ARI</x:v>
      </x:c>
      <x:c r="E488" s="28" t="n">
        <x:v>15.7</x:v>
      </x:c>
      <x:c r="F488" s="28" t="str">
        <x:v>TE|61</x:v>
      </x:c>
      <x:c r="G488" s="28" t="n">
        <x:f>XLOOKUP(A488,'Assumptions'!$A$12:$A$15,'Assumptions'!$C$12:$C$15)</x:f>
        <x:v>143.3</x:v>
      </x:c>
      <x:c r="H488" s="28" t="n">
        <x:f>E488-G488</x:f>
        <x:v>-127.60000000000001</x:v>
      </x:c>
      <x:c r="I488" s="29" t="n">
        <x:v>0</x:v>
      </x:c>
      <x:c r="J488" s="28" t="n">
        <x:f>H488+I488</x:f>
        <x:v>-127.60000000000001</x:v>
      </x:c>
      <x:c r="K488" s="26" t="str">
        <x:v>Projection-only v1.0</x:v>
      </x:c>
      <x:c r="L488" s="26" t="n">
        <x:f>RANK.EQ(J488,$J$5:$J$619,0)</x:f>
        <x:v>515</x:v>
      </x:c>
      <x:c r="M488" s="26" t="str">
        <x:f>IF(I488=0,"PROJECTION ONLY","EDITORIAL ADJUSTMENT")</x:f>
        <x:v>PROJECTION ONLY</x:v>
      </x:c>
    </x:row>
    <x:row r="489">
      <x:c r="A489" s="26" t="str">
        <x:v>TE</x:v>
      </x:c>
      <x:c r="B489" s="26" t="n">
        <x:v>62</x:v>
      </x:c>
      <x:c r="C489" s="26" t="str">
        <x:v>Michael Trigg</x:v>
      </x:c>
      <x:c r="D489" s="26" t="str">
        <x:v>DAL</x:v>
      </x:c>
      <x:c r="E489" s="28" t="n">
        <x:v>16.1</x:v>
      </x:c>
      <x:c r="F489" s="28" t="str">
        <x:v>TE|62</x:v>
      </x:c>
      <x:c r="G489" s="28" t="n">
        <x:f>XLOOKUP(A489,'Assumptions'!$A$12:$A$15,'Assumptions'!$C$12:$C$15)</x:f>
        <x:v>143.3</x:v>
      </x:c>
      <x:c r="H489" s="28" t="n">
        <x:f>E489-G489</x:f>
        <x:v>-127.20000000000002</x:v>
      </x:c>
      <x:c r="I489" s="29" t="n">
        <x:v>0</x:v>
      </x:c>
      <x:c r="J489" s="28" t="n">
        <x:f>H489+I489</x:f>
        <x:v>-127.20000000000002</x:v>
      </x:c>
      <x:c r="K489" s="26" t="str">
        <x:v>Projection-only v1.0</x:v>
      </x:c>
      <x:c r="L489" s="26" t="n">
        <x:f>RANK.EQ(J489,$J$5:$J$619,0)</x:f>
        <x:v>514</x:v>
      </x:c>
      <x:c r="M489" s="26" t="str">
        <x:f>IF(I489=0,"PROJECTION ONLY","EDITORIAL ADJUSTMENT")</x:f>
        <x:v>PROJECTION ONLY</x:v>
      </x:c>
    </x:row>
    <x:row r="490">
      <x:c r="A490" s="26" t="str">
        <x:v>TE</x:v>
      </x:c>
      <x:c r="B490" s="26" t="n">
        <x:v>63</x:v>
      </x:c>
      <x:c r="C490" s="26" t="str">
        <x:v>Luke Schoonmaker</x:v>
      </x:c>
      <x:c r="D490" s="26" t="str">
        <x:v>DAL</x:v>
      </x:c>
      <x:c r="E490" s="28" t="n">
        <x:v>14.7</x:v>
      </x:c>
      <x:c r="F490" s="28" t="str">
        <x:v>TE|63</x:v>
      </x:c>
      <x:c r="G490" s="28" t="n">
        <x:f>XLOOKUP(A490,'Assumptions'!$A$12:$A$15,'Assumptions'!$C$12:$C$15)</x:f>
        <x:v>143.3</x:v>
      </x:c>
      <x:c r="H490" s="28" t="n">
        <x:f>E490-G490</x:f>
        <x:v>-128.60000000000002</x:v>
      </x:c>
      <x:c r="I490" s="29" t="n">
        <x:v>0</x:v>
      </x:c>
      <x:c r="J490" s="28" t="n">
        <x:f>H490+I490</x:f>
        <x:v>-128.60000000000002</x:v>
      </x:c>
      <x:c r="K490" s="26" t="str">
        <x:v>Projection-only v1.0</x:v>
      </x:c>
      <x:c r="L490" s="26" t="n">
        <x:f>RANK.EQ(J490,$J$5:$J$619,0)</x:f>
        <x:v>516</x:v>
      </x:c>
      <x:c r="M490" s="26" t="str">
        <x:f>IF(I490=0,"PROJECTION ONLY","EDITORIAL ADJUSTMENT")</x:f>
        <x:v>PROJECTION ONLY</x:v>
      </x:c>
    </x:row>
    <x:row r="491">
      <x:c r="A491" s="26" t="str">
        <x:v>TE</x:v>
      </x:c>
      <x:c r="B491" s="26" t="n">
        <x:v>64</x:v>
      </x:c>
      <x:c r="C491" s="26" t="str">
        <x:v>Charlie Kolar</x:v>
      </x:c>
      <x:c r="D491" s="26" t="str">
        <x:v>LAC</x:v>
      </x:c>
      <x:c r="E491" s="28" t="n">
        <x:v>14.5</x:v>
      </x:c>
      <x:c r="F491" s="28" t="str">
        <x:v>TE|64</x:v>
      </x:c>
      <x:c r="G491" s="28" t="n">
        <x:f>XLOOKUP(A491,'Assumptions'!$A$12:$A$15,'Assumptions'!$C$12:$C$15)</x:f>
        <x:v>143.3</x:v>
      </x:c>
      <x:c r="H491" s="28" t="n">
        <x:f>E491-G491</x:f>
        <x:v>-128.8</x:v>
      </x:c>
      <x:c r="I491" s="29" t="n">
        <x:v>0</x:v>
      </x:c>
      <x:c r="J491" s="28" t="n">
        <x:f>H491+I491</x:f>
        <x:v>-128.8</x:v>
      </x:c>
      <x:c r="K491" s="26" t="str">
        <x:v>Projection-only v1.0</x:v>
      </x:c>
      <x:c r="L491" s="26" t="n">
        <x:f>RANK.EQ(J491,$J$5:$J$619,0)</x:f>
        <x:v>517</x:v>
      </x:c>
      <x:c r="M491" s="26" t="str">
        <x:f>IF(I491=0,"PROJECTION ONLY","EDITORIAL ADJUSTMENT")</x:f>
        <x:v>PROJECTION ONLY</x:v>
      </x:c>
    </x:row>
    <x:row r="492">
      <x:c r="A492" s="26" t="str">
        <x:v>TE</x:v>
      </x:c>
      <x:c r="B492" s="26" t="n">
        <x:v>65</x:v>
      </x:c>
      <x:c r="C492" s="26" t="str">
        <x:v>Joe Royer</x:v>
      </x:c>
      <x:c r="D492" s="26" t="str">
        <x:v>CLE</x:v>
      </x:c>
      <x:c r="E492" s="28" t="n">
        <x:v>12.1</x:v>
      </x:c>
      <x:c r="F492" s="28" t="str">
        <x:v>TE|65</x:v>
      </x:c>
      <x:c r="G492" s="28" t="n">
        <x:f>XLOOKUP(A492,'Assumptions'!$A$12:$A$15,'Assumptions'!$C$12:$C$15)</x:f>
        <x:v>143.3</x:v>
      </x:c>
      <x:c r="H492" s="28" t="n">
        <x:f>E492-G492</x:f>
        <x:v>-131.20000000000002</x:v>
      </x:c>
      <x:c r="I492" s="29" t="n">
        <x:v>0</x:v>
      </x:c>
      <x:c r="J492" s="28" t="n">
        <x:f>H492+I492</x:f>
        <x:v>-131.20000000000002</x:v>
      </x:c>
      <x:c r="K492" s="26" t="str">
        <x:v>Projection-only v1.0</x:v>
      </x:c>
      <x:c r="L492" s="26" t="n">
        <x:f>RANK.EQ(J492,$J$5:$J$619,0)</x:f>
        <x:v>519</x:v>
      </x:c>
      <x:c r="M492" s="26" t="str">
        <x:f>IF(I492=0,"PROJECTION ONLY","EDITORIAL ADJUSTMENT")</x:f>
        <x:v>PROJECTION ONLY</x:v>
      </x:c>
    </x:row>
    <x:row r="493">
      <x:c r="A493" s="26" t="str">
        <x:v>TE</x:v>
      </x:c>
      <x:c r="B493" s="26" t="n">
        <x:v>66</x:v>
      </x:c>
      <x:c r="C493" s="26" t="str">
        <x:v>Davis Allen</x:v>
      </x:c>
      <x:c r="D493" s="26" t="str">
        <x:v>LAR</x:v>
      </x:c>
      <x:c r="E493" s="28" t="n">
        <x:v>12.2</x:v>
      </x:c>
      <x:c r="F493" s="28" t="str">
        <x:v>TE|66</x:v>
      </x:c>
      <x:c r="G493" s="28" t="n">
        <x:f>XLOOKUP(A493,'Assumptions'!$A$12:$A$15,'Assumptions'!$C$12:$C$15)</x:f>
        <x:v>143.3</x:v>
      </x:c>
      <x:c r="H493" s="28" t="n">
        <x:f>E493-G493</x:f>
        <x:v>-131.10000000000002</x:v>
      </x:c>
      <x:c r="I493" s="29" t="n">
        <x:v>0</x:v>
      </x:c>
      <x:c r="J493" s="28" t="n">
        <x:f>H493+I493</x:f>
        <x:v>-131.10000000000002</x:v>
      </x:c>
      <x:c r="K493" s="26" t="str">
        <x:v>Projection-only v1.0</x:v>
      </x:c>
      <x:c r="L493" s="26" t="n">
        <x:f>RANK.EQ(J493,$J$5:$J$619,0)</x:f>
        <x:v>518</x:v>
      </x:c>
      <x:c r="M493" s="26" t="str">
        <x:f>IF(I493=0,"PROJECTION ONLY","EDITORIAL ADJUSTMENT")</x:f>
        <x:v>PROJECTION ONLY</x:v>
      </x:c>
    </x:row>
    <x:row r="494">
      <x:c r="A494" s="26" t="str">
        <x:v>TE</x:v>
      </x:c>
      <x:c r="B494" s="26" t="n">
        <x:v>67</x:v>
      </x:c>
      <x:c r="C494" s="26" t="str">
        <x:v>Blake Whiteheart</x:v>
      </x:c>
      <x:c r="D494" s="26" t="str">
        <x:v>CLE</x:v>
      </x:c>
      <x:c r="E494" s="28" t="n">
        <x:v>11</x:v>
      </x:c>
      <x:c r="F494" s="28" t="str">
        <x:v>TE|67</x:v>
      </x:c>
      <x:c r="G494" s="28" t="n">
        <x:f>XLOOKUP(A494,'Assumptions'!$A$12:$A$15,'Assumptions'!$C$12:$C$15)</x:f>
        <x:v>143.3</x:v>
      </x:c>
      <x:c r="H494" s="28" t="n">
        <x:f>E494-G494</x:f>
        <x:v>-132.3</x:v>
      </x:c>
      <x:c r="I494" s="29" t="n">
        <x:v>0</x:v>
      </x:c>
      <x:c r="J494" s="28" t="n">
        <x:f>H494+I494</x:f>
        <x:v>-132.3</x:v>
      </x:c>
      <x:c r="K494" s="26" t="str">
        <x:v>Projection-only v1.0</x:v>
      </x:c>
      <x:c r="L494" s="26" t="n">
        <x:f>RANK.EQ(J494,$J$5:$J$619,0)</x:f>
        <x:v>520</x:v>
      </x:c>
      <x:c r="M494" s="26" t="str">
        <x:f>IF(I494=0,"PROJECTION ONLY","EDITORIAL ADJUSTMENT")</x:f>
        <x:v>PROJECTION ONLY</x:v>
      </x:c>
    </x:row>
    <x:row r="495">
      <x:c r="A495" s="26" t="str">
        <x:v>TE</x:v>
      </x:c>
      <x:c r="B495" s="26" t="n">
        <x:v>68</x:v>
      </x:c>
      <x:c r="C495" s="26" t="str">
        <x:v>Drew Sample</x:v>
      </x:c>
      <x:c r="D495" s="26" t="str">
        <x:v>CIN</x:v>
      </x:c>
      <x:c r="E495" s="28" t="n">
        <x:v>10.9</x:v>
      </x:c>
      <x:c r="F495" s="28" t="str">
        <x:v>TE|68</x:v>
      </x:c>
      <x:c r="G495" s="28" t="n">
        <x:f>XLOOKUP(A495,'Assumptions'!$A$12:$A$15,'Assumptions'!$C$12:$C$15)</x:f>
        <x:v>143.3</x:v>
      </x:c>
      <x:c r="H495" s="28" t="n">
        <x:f>E495-G495</x:f>
        <x:v>-132.4</x:v>
      </x:c>
      <x:c r="I495" s="29" t="n">
        <x:v>0</x:v>
      </x:c>
      <x:c r="J495" s="28" t="n">
        <x:f>H495+I495</x:f>
        <x:v>-132.4</x:v>
      </x:c>
      <x:c r="K495" s="26" t="str">
        <x:v>Projection-only v1.0</x:v>
      </x:c>
      <x:c r="L495" s="26" t="n">
        <x:f>RANK.EQ(J495,$J$5:$J$619,0)</x:f>
        <x:v>521</x:v>
      </x:c>
      <x:c r="M495" s="26" t="str">
        <x:f>IF(I495=0,"PROJECTION ONLY","EDITORIAL ADJUSTMENT")</x:f>
        <x:v>PROJECTION ONLY</x:v>
      </x:c>
    </x:row>
    <x:row r="496">
      <x:c r="A496" s="26" t="str">
        <x:v>TE</x:v>
      </x:c>
      <x:c r="B496" s="26" t="n">
        <x:v>69</x:v>
      </x:c>
      <x:c r="C496" s="26" t="str">
        <x:v>Oscar Delp</x:v>
      </x:c>
      <x:c r="D496" s="26" t="str">
        <x:v>NO</x:v>
      </x:c>
      <x:c r="E496" s="28" t="n">
        <x:v>10.7</x:v>
      </x:c>
      <x:c r="F496" s="28" t="str">
        <x:v>TE|69</x:v>
      </x:c>
      <x:c r="G496" s="28" t="n">
        <x:f>XLOOKUP(A496,'Assumptions'!$A$12:$A$15,'Assumptions'!$C$12:$C$15)</x:f>
        <x:v>143.3</x:v>
      </x:c>
      <x:c r="H496" s="28" t="n">
        <x:f>E496-G496</x:f>
        <x:v>-132.60000000000002</x:v>
      </x:c>
      <x:c r="I496" s="29" t="n">
        <x:v>0</x:v>
      </x:c>
      <x:c r="J496" s="28" t="n">
        <x:f>H496+I496</x:f>
        <x:v>-132.60000000000002</x:v>
      </x:c>
      <x:c r="K496" s="26" t="str">
        <x:v>Projection-only v1.0</x:v>
      </x:c>
      <x:c r="L496" s="26" t="n">
        <x:f>RANK.EQ(J496,$J$5:$J$619,0)</x:f>
        <x:v>522</x:v>
      </x:c>
      <x:c r="M496" s="26" t="str">
        <x:f>IF(I496=0,"PROJECTION ONLY","EDITORIAL ADJUSTMENT")</x:f>
        <x:v>PROJECTION ONLY</x:v>
      </x:c>
    </x:row>
    <x:row r="497">
      <x:c r="A497" s="26" t="str">
        <x:v>TE</x:v>
      </x:c>
      <x:c r="B497" s="26" t="n">
        <x:v>70</x:v>
      </x:c>
      <x:c r="C497" s="26" t="str">
        <x:v>James Mitchell</x:v>
      </x:c>
      <x:c r="D497" s="26" t="str">
        <x:v>CAR</x:v>
      </x:c>
      <x:c r="E497" s="28" t="n">
        <x:v>9.6</x:v>
      </x:c>
      <x:c r="F497" s="28" t="str">
        <x:v>TE|70</x:v>
      </x:c>
      <x:c r="G497" s="28" t="n">
        <x:f>XLOOKUP(A497,'Assumptions'!$A$12:$A$15,'Assumptions'!$C$12:$C$15)</x:f>
        <x:v>143.3</x:v>
      </x:c>
      <x:c r="H497" s="28" t="n">
        <x:f>E497-G497</x:f>
        <x:v>-133.70000000000002</x:v>
      </x:c>
      <x:c r="I497" s="29" t="n">
        <x:v>0</x:v>
      </x:c>
      <x:c r="J497" s="28" t="n">
        <x:f>H497+I497</x:f>
        <x:v>-133.70000000000002</x:v>
      </x:c>
      <x:c r="K497" s="26" t="str">
        <x:v>Projection-only v1.0</x:v>
      </x:c>
      <x:c r="L497" s="26" t="n">
        <x:f>RANK.EQ(J497,$J$5:$J$619,0)</x:f>
        <x:v>525</x:v>
      </x:c>
      <x:c r="M497" s="26" t="str">
        <x:f>IF(I497=0,"PROJECTION ONLY","EDITORIAL ADJUSTMENT")</x:f>
        <x:v>PROJECTION ONLY</x:v>
      </x:c>
    </x:row>
    <x:row r="498">
      <x:c r="A498" s="26" t="str">
        <x:v>TE</x:v>
      </x:c>
      <x:c r="B498" s="26" t="n">
        <x:v>71</x:v>
      </x:c>
      <x:c r="C498" s="26" t="str">
        <x:v>Jack Endries</x:v>
      </x:c>
      <x:c r="D498" s="26" t="str">
        <x:v>CIN</x:v>
      </x:c>
      <x:c r="E498" s="28" t="n">
        <x:v>9.6</x:v>
      </x:c>
      <x:c r="F498" s="28" t="str">
        <x:v>TE|71</x:v>
      </x:c>
      <x:c r="G498" s="28" t="n">
        <x:f>XLOOKUP(A498,'Assumptions'!$A$12:$A$15,'Assumptions'!$C$12:$C$15)</x:f>
        <x:v>143.3</x:v>
      </x:c>
      <x:c r="H498" s="28" t="n">
        <x:f>E498-G498</x:f>
        <x:v>-133.70000000000002</x:v>
      </x:c>
      <x:c r="I498" s="29" t="n">
        <x:v>0</x:v>
      </x:c>
      <x:c r="J498" s="28" t="n">
        <x:f>H498+I498</x:f>
        <x:v>-133.70000000000002</x:v>
      </x:c>
      <x:c r="K498" s="26" t="str">
        <x:v>Projection-only v1.0</x:v>
      </x:c>
      <x:c r="L498" s="26" t="n">
        <x:f>RANK.EQ(J498,$J$5:$J$619,0)</x:f>
        <x:v>525</x:v>
      </x:c>
      <x:c r="M498" s="26" t="str">
        <x:f>IF(I498=0,"PROJECTION ONLY","EDITORIAL ADJUSTMENT")</x:f>
        <x:v>PROJECTION ONLY</x:v>
      </x:c>
    </x:row>
    <x:row r="499">
      <x:c r="A499" s="26" t="str">
        <x:v>TE</x:v>
      </x:c>
      <x:c r="B499" s="26" t="n">
        <x:v>72</x:v>
      </x:c>
      <x:c r="C499" s="26" t="str">
        <x:v>Max Klare</x:v>
      </x:c>
      <x:c r="D499" s="26" t="str">
        <x:v>LAR</x:v>
      </x:c>
      <x:c r="E499" s="28" t="n">
        <x:v>9.6</x:v>
      </x:c>
      <x:c r="F499" s="28" t="str">
        <x:v>TE|72</x:v>
      </x:c>
      <x:c r="G499" s="28" t="n">
        <x:f>XLOOKUP(A499,'Assumptions'!$A$12:$A$15,'Assumptions'!$C$12:$C$15)</x:f>
        <x:v>143.3</x:v>
      </x:c>
      <x:c r="H499" s="28" t="n">
        <x:f>E499-G499</x:f>
        <x:v>-133.70000000000002</x:v>
      </x:c>
      <x:c r="I499" s="29" t="n">
        <x:v>0</x:v>
      </x:c>
      <x:c r="J499" s="28" t="n">
        <x:f>H499+I499</x:f>
        <x:v>-133.70000000000002</x:v>
      </x:c>
      <x:c r="K499" s="26" t="str">
        <x:v>Projection-only v1.0</x:v>
      </x:c>
      <x:c r="L499" s="26" t="n">
        <x:f>RANK.EQ(J499,$J$5:$J$619,0)</x:f>
        <x:v>525</x:v>
      </x:c>
      <x:c r="M499" s="26" t="str">
        <x:f>IF(I499=0,"PROJECTION ONLY","EDITORIAL ADJUSTMENT")</x:f>
        <x:v>PROJECTION ONLY</x:v>
      </x:c>
    </x:row>
    <x:row r="500">
      <x:c r="A500" s="26" t="str">
        <x:v>TE</x:v>
      </x:c>
      <x:c r="B500" s="26" t="n">
        <x:v>73</x:v>
      </x:c>
      <x:c r="C500" s="26" t="str">
        <x:v>Rivaldo Fairweather</x:v>
      </x:c>
      <x:c r="D500" s="26" t="str">
        <x:v>ARI</x:v>
      </x:c>
      <x:c r="E500" s="28" t="n">
        <x:v>9.7</x:v>
      </x:c>
      <x:c r="F500" s="28" t="str">
        <x:v>TE|73</x:v>
      </x:c>
      <x:c r="G500" s="28" t="n">
        <x:f>XLOOKUP(A500,'Assumptions'!$A$12:$A$15,'Assumptions'!$C$12:$C$15)</x:f>
        <x:v>143.3</x:v>
      </x:c>
      <x:c r="H500" s="28" t="n">
        <x:f>E500-G500</x:f>
        <x:v>-133.60000000000002</x:v>
      </x:c>
      <x:c r="I500" s="29" t="n">
        <x:v>0</x:v>
      </x:c>
      <x:c r="J500" s="28" t="n">
        <x:f>H500+I500</x:f>
        <x:v>-133.60000000000002</x:v>
      </x:c>
      <x:c r="K500" s="26" t="str">
        <x:v>Projection-only v1.0</x:v>
      </x:c>
      <x:c r="L500" s="26" t="n">
        <x:f>RANK.EQ(J500,$J$5:$J$619,0)</x:f>
        <x:v>523</x:v>
      </x:c>
      <x:c r="M500" s="26" t="str">
        <x:f>IF(I500=0,"PROJECTION ONLY","EDITORIAL ADJUSTMENT")</x:f>
        <x:v>PROJECTION ONLY</x:v>
      </x:c>
    </x:row>
    <x:row r="501">
      <x:c r="A501" s="26" t="str">
        <x:v>TE</x:v>
      </x:c>
      <x:c r="B501" s="26" t="n">
        <x:v>74</x:v>
      </x:c>
      <x:c r="C501" s="26" t="str">
        <x:v>Teagan Quitoriano</x:v>
      </x:c>
      <x:c r="D501" s="26" t="str">
        <x:v>ARI</x:v>
      </x:c>
      <x:c r="E501" s="28" t="n">
        <x:v>9.7</x:v>
      </x:c>
      <x:c r="F501" s="28" t="str">
        <x:v>TE|74</x:v>
      </x:c>
      <x:c r="G501" s="28" t="n">
        <x:f>XLOOKUP(A501,'Assumptions'!$A$12:$A$15,'Assumptions'!$C$12:$C$15)</x:f>
        <x:v>143.3</x:v>
      </x:c>
      <x:c r="H501" s="28" t="n">
        <x:f>E501-G501</x:f>
        <x:v>-133.60000000000002</x:v>
      </x:c>
      <x:c r="I501" s="29" t="n">
        <x:v>0</x:v>
      </x:c>
      <x:c r="J501" s="28" t="n">
        <x:f>H501+I501</x:f>
        <x:v>-133.60000000000002</x:v>
      </x:c>
      <x:c r="K501" s="26" t="str">
        <x:v>Projection-only v1.0</x:v>
      </x:c>
      <x:c r="L501" s="26" t="n">
        <x:f>RANK.EQ(J501,$J$5:$J$619,0)</x:f>
        <x:v>523</x:v>
      </x:c>
      <x:c r="M501" s="26" t="str">
        <x:f>IF(I501=0,"PROJECTION ONLY","EDITORIAL ADJUSTMENT")</x:f>
        <x:v>PROJECTION ONLY</x:v>
      </x:c>
    </x:row>
    <x:row r="502">
      <x:c r="A502" s="26" t="str">
        <x:v>TE</x:v>
      </x:c>
      <x:c r="B502" s="26" t="n">
        <x:v>75</x:v>
      </x:c>
      <x:c r="C502" s="26" t="str">
        <x:v>Tanner Hudson</x:v>
      </x:c>
      <x:c r="D502" s="26" t="str">
        <x:v>CIN</x:v>
      </x:c>
      <x:c r="E502" s="28" t="n">
        <x:v>9</x:v>
      </x:c>
      <x:c r="F502" s="28" t="str">
        <x:v>TE|75</x:v>
      </x:c>
      <x:c r="G502" s="28" t="n">
        <x:f>XLOOKUP(A502,'Assumptions'!$A$12:$A$15,'Assumptions'!$C$12:$C$15)</x:f>
        <x:v>143.3</x:v>
      </x:c>
      <x:c r="H502" s="28" t="n">
        <x:f>E502-G502</x:f>
        <x:v>-134.3</x:v>
      </x:c>
      <x:c r="I502" s="29" t="n">
        <x:v>0</x:v>
      </x:c>
      <x:c r="J502" s="28" t="n">
        <x:f>H502+I502</x:f>
        <x:v>-134.3</x:v>
      </x:c>
      <x:c r="K502" s="26" t="str">
        <x:v>Projection-only v1.0</x:v>
      </x:c>
      <x:c r="L502" s="26" t="n">
        <x:f>RANK.EQ(J502,$J$5:$J$619,0)</x:f>
        <x:v>529</x:v>
      </x:c>
      <x:c r="M502" s="26" t="str">
        <x:f>IF(I502=0,"PROJECTION ONLY","EDITORIAL ADJUSTMENT")</x:f>
        <x:v>PROJECTION ONLY</x:v>
      </x:c>
    </x:row>
    <x:row r="503">
      <x:c r="A503" s="26" t="str">
        <x:v>TE</x:v>
      </x:c>
      <x:c r="B503" s="26" t="n">
        <x:v>76</x:v>
      </x:c>
      <x:c r="C503" s="26" t="str">
        <x:v>Cam Grandy</x:v>
      </x:c>
      <x:c r="D503" s="26" t="str">
        <x:v>CIN</x:v>
      </x:c>
      <x:c r="E503" s="28" t="n">
        <x:v>8.9</x:v>
      </x:c>
      <x:c r="F503" s="28" t="str">
        <x:v>TE|76</x:v>
      </x:c>
      <x:c r="G503" s="28" t="n">
        <x:f>XLOOKUP(A503,'Assumptions'!$A$12:$A$15,'Assumptions'!$C$12:$C$15)</x:f>
        <x:v>143.3</x:v>
      </x:c>
      <x:c r="H503" s="28" t="n">
        <x:f>E503-G503</x:f>
        <x:v>-134.4</x:v>
      </x:c>
      <x:c r="I503" s="29" t="n">
        <x:v>0</x:v>
      </x:c>
      <x:c r="J503" s="28" t="n">
        <x:f>H503+I503</x:f>
        <x:v>-134.4</x:v>
      </x:c>
      <x:c r="K503" s="26" t="str">
        <x:v>Projection-only v1.0</x:v>
      </x:c>
      <x:c r="L503" s="26" t="n">
        <x:f>RANK.EQ(J503,$J$5:$J$619,0)</x:f>
        <x:v>531</x:v>
      </x:c>
      <x:c r="M503" s="26" t="str">
        <x:f>IF(I503=0,"PROJECTION ONLY","EDITORIAL ADJUSTMENT")</x:f>
        <x:v>PROJECTION ONLY</x:v>
      </x:c>
    </x:row>
    <x:row r="504">
      <x:c r="A504" s="26" t="str">
        <x:v>TE</x:v>
      </x:c>
      <x:c r="B504" s="26" t="n">
        <x:v>77</x:v>
      </x:c>
      <x:c r="C504" s="26" t="str">
        <x:v>Ben Sims</x:v>
      </x:c>
      <x:c r="D504" s="26" t="str">
        <x:v>MIA</x:v>
      </x:c>
      <x:c r="E504" s="28" t="n">
        <x:v>9</x:v>
      </x:c>
      <x:c r="F504" s="28" t="str">
        <x:v>TE|77</x:v>
      </x:c>
      <x:c r="G504" s="28" t="n">
        <x:f>XLOOKUP(A504,'Assumptions'!$A$12:$A$15,'Assumptions'!$C$12:$C$15)</x:f>
        <x:v>143.3</x:v>
      </x:c>
      <x:c r="H504" s="28" t="n">
        <x:f>E504-G504</x:f>
        <x:v>-134.3</x:v>
      </x:c>
      <x:c r="I504" s="29" t="n">
        <x:v>0</x:v>
      </x:c>
      <x:c r="J504" s="28" t="n">
        <x:f>H504+I504</x:f>
        <x:v>-134.3</x:v>
      </x:c>
      <x:c r="K504" s="26" t="str">
        <x:v>Projection-only v1.0</x:v>
      </x:c>
      <x:c r="L504" s="26" t="n">
        <x:f>RANK.EQ(J504,$J$5:$J$619,0)</x:f>
        <x:v>529</x:v>
      </x:c>
      <x:c r="M504" s="26" t="str">
        <x:f>IF(I504=0,"PROJECTION ONLY","EDITORIAL ADJUSTMENT")</x:f>
        <x:v>PROJECTION ONLY</x:v>
      </x:c>
    </x:row>
    <x:row r="505">
      <x:c r="A505" s="26" t="str">
        <x:v>TE</x:v>
      </x:c>
      <x:c r="B505" s="26" t="n">
        <x:v>78</x:v>
      </x:c>
      <x:c r="C505" s="26" t="str">
        <x:v>Sam Roush</x:v>
      </x:c>
      <x:c r="D505" s="26" t="str">
        <x:v>CHI</x:v>
      </x:c>
      <x:c r="E505" s="28" t="n">
        <x:v>9.3</x:v>
      </x:c>
      <x:c r="F505" s="28" t="str">
        <x:v>TE|78</x:v>
      </x:c>
      <x:c r="G505" s="28" t="n">
        <x:f>XLOOKUP(A505,'Assumptions'!$A$12:$A$15,'Assumptions'!$C$12:$C$15)</x:f>
        <x:v>143.3</x:v>
      </x:c>
      <x:c r="H505" s="28" t="n">
        <x:f>E505-G505</x:f>
        <x:v>-134</x:v>
      </x:c>
      <x:c r="I505" s="29" t="n">
        <x:v>0</x:v>
      </x:c>
      <x:c r="J505" s="28" t="n">
        <x:f>H505+I505</x:f>
        <x:v>-134</x:v>
      </x:c>
      <x:c r="K505" s="26" t="str">
        <x:v>Projection-only v1.0</x:v>
      </x:c>
      <x:c r="L505" s="26" t="n">
        <x:f>RANK.EQ(J505,$J$5:$J$619,0)</x:f>
        <x:v>528</x:v>
      </x:c>
      <x:c r="M505" s="26" t="str">
        <x:f>IF(I505=0,"PROJECTION ONLY","EDITORIAL ADJUSTMENT")</x:f>
        <x:v>PROJECTION ONLY</x:v>
      </x:c>
    </x:row>
    <x:row r="506">
      <x:c r="A506" s="26" t="str">
        <x:v>TE</x:v>
      </x:c>
      <x:c r="B506" s="26" t="n">
        <x:v>79</x:v>
      </x:c>
      <x:c r="C506" s="26" t="str">
        <x:v>Durham Smythe</x:v>
      </x:c>
      <x:c r="D506" s="26" t="str">
        <x:v>BAL</x:v>
      </x:c>
      <x:c r="E506" s="28" t="n">
        <x:v>8.3</x:v>
      </x:c>
      <x:c r="F506" s="28" t="str">
        <x:v>TE|79</x:v>
      </x:c>
      <x:c r="G506" s="28" t="n">
        <x:f>XLOOKUP(A506,'Assumptions'!$A$12:$A$15,'Assumptions'!$C$12:$C$15)</x:f>
        <x:v>143.3</x:v>
      </x:c>
      <x:c r="H506" s="28" t="n">
        <x:f>E506-G506</x:f>
        <x:v>-135</x:v>
      </x:c>
      <x:c r="I506" s="29" t="n">
        <x:v>0</x:v>
      </x:c>
      <x:c r="J506" s="28" t="n">
        <x:f>H506+I506</x:f>
        <x:v>-135</x:v>
      </x:c>
      <x:c r="K506" s="26" t="str">
        <x:v>Projection-only v1.0</x:v>
      </x:c>
      <x:c r="L506" s="26" t="n">
        <x:f>RANK.EQ(J506,$J$5:$J$619,0)</x:f>
        <x:v>533</x:v>
      </x:c>
      <x:c r="M506" s="26" t="str">
        <x:f>IF(I506=0,"PROJECTION ONLY","EDITORIAL ADJUSTMENT")</x:f>
        <x:v>PROJECTION ONLY</x:v>
      </x:c>
    </x:row>
    <x:row r="507">
      <x:c r="A507" s="26" t="str">
        <x:v>TE</x:v>
      </x:c>
      <x:c r="B507" s="26" t="n">
        <x:v>80</x:v>
      </x:c>
      <x:c r="C507" s="26" t="str">
        <x:v>Nick Vannett</x:v>
      </x:c>
      <x:c r="D507" s="26" t="str">
        <x:v>SEA</x:v>
      </x:c>
      <x:c r="E507" s="28" t="n">
        <x:v>8.4</x:v>
      </x:c>
      <x:c r="F507" s="28" t="str">
        <x:v>TE|80</x:v>
      </x:c>
      <x:c r="G507" s="28" t="n">
        <x:f>XLOOKUP(A507,'Assumptions'!$A$12:$A$15,'Assumptions'!$C$12:$C$15)</x:f>
        <x:v>143.3</x:v>
      </x:c>
      <x:c r="H507" s="28" t="n">
        <x:f>E507-G507</x:f>
        <x:v>-134.9</x:v>
      </x:c>
      <x:c r="I507" s="29" t="n">
        <x:v>0</x:v>
      </x:c>
      <x:c r="J507" s="28" t="n">
        <x:f>H507+I507</x:f>
        <x:v>-134.9</x:v>
      </x:c>
      <x:c r="K507" s="26" t="str">
        <x:v>Projection-only v1.0</x:v>
      </x:c>
      <x:c r="L507" s="26" t="n">
        <x:f>RANK.EQ(J507,$J$5:$J$619,0)</x:f>
        <x:v>532</x:v>
      </x:c>
      <x:c r="M507" s="26" t="str">
        <x:f>IF(I507=0,"PROJECTION ONLY","EDITORIAL ADJUSTMENT")</x:f>
        <x:v>PROJECTION ONLY</x:v>
      </x:c>
    </x:row>
    <x:row r="508">
      <x:c r="A508" s="26" t="str">
        <x:v>TE</x:v>
      </x:c>
      <x:c r="B508" s="26" t="n">
        <x:v>81</x:v>
      </x:c>
      <x:c r="C508" s="26" t="str">
        <x:v>Adam Trautman</x:v>
      </x:c>
      <x:c r="D508" s="26" t="str">
        <x:v>DEN</x:v>
      </x:c>
      <x:c r="E508" s="28" t="n">
        <x:v>7.6</x:v>
      </x:c>
      <x:c r="F508" s="28" t="str">
        <x:v>TE|81</x:v>
      </x:c>
      <x:c r="G508" s="28" t="n">
        <x:f>XLOOKUP(A508,'Assumptions'!$A$12:$A$15,'Assumptions'!$C$12:$C$15)</x:f>
        <x:v>143.3</x:v>
      </x:c>
      <x:c r="H508" s="28" t="n">
        <x:f>E508-G508</x:f>
        <x:v>-135.70000000000002</x:v>
      </x:c>
      <x:c r="I508" s="29" t="n">
        <x:v>0</x:v>
      </x:c>
      <x:c r="J508" s="28" t="n">
        <x:f>H508+I508</x:f>
        <x:v>-135.70000000000002</x:v>
      </x:c>
      <x:c r="K508" s="26" t="str">
        <x:v>Projection-only v1.0</x:v>
      </x:c>
      <x:c r="L508" s="26" t="n">
        <x:f>RANK.EQ(J508,$J$5:$J$619,0)</x:f>
        <x:v>535</x:v>
      </x:c>
      <x:c r="M508" s="26" t="str">
        <x:f>IF(I508=0,"PROJECTION ONLY","EDITORIAL ADJUSTMENT")</x:f>
        <x:v>PROJECTION ONLY</x:v>
      </x:c>
    </x:row>
    <x:row r="509">
      <x:c r="A509" s="26" t="str">
        <x:v>TE</x:v>
      </x:c>
      <x:c r="B509" s="26" t="n">
        <x:v>82</x:v>
      </x:c>
      <x:c r="C509" s="26" t="str">
        <x:v>Jack Stoll</x:v>
      </x:c>
      <x:c r="D509" s="26" t="str">
        <x:v>CLE</x:v>
      </x:c>
      <x:c r="E509" s="28" t="n">
        <x:v>7.3</x:v>
      </x:c>
      <x:c r="F509" s="28" t="str">
        <x:v>TE|82</x:v>
      </x:c>
      <x:c r="G509" s="28" t="n">
        <x:f>XLOOKUP(A509,'Assumptions'!$A$12:$A$15,'Assumptions'!$C$12:$C$15)</x:f>
        <x:v>143.3</x:v>
      </x:c>
      <x:c r="H509" s="28" t="n">
        <x:f>E509-G509</x:f>
        <x:v>-136</x:v>
      </x:c>
      <x:c r="I509" s="29" t="n">
        <x:v>0</x:v>
      </x:c>
      <x:c r="J509" s="28" t="n">
        <x:f>H509+I509</x:f>
        <x:v>-136</x:v>
      </x:c>
      <x:c r="K509" s="26" t="str">
        <x:v>Projection-only v1.0</x:v>
      </x:c>
      <x:c r="L509" s="26" t="n">
        <x:f>RANK.EQ(J509,$J$5:$J$619,0)</x:f>
        <x:v>537</x:v>
      </x:c>
      <x:c r="M509" s="26" t="str">
        <x:f>IF(I509=0,"PROJECTION ONLY","EDITORIAL ADJUSTMENT")</x:f>
        <x:v>PROJECTION ONLY</x:v>
      </x:c>
    </x:row>
    <x:row r="510">
      <x:c r="A510" s="26" t="str">
        <x:v>TE</x:v>
      </x:c>
      <x:c r="B510" s="26" t="n">
        <x:v>83</x:v>
      </x:c>
      <x:c r="C510" s="26" t="str">
        <x:v>Brevyn Spann-Ford</x:v>
      </x:c>
      <x:c r="D510" s="26" t="str">
        <x:v>DAL</x:v>
      </x:c>
      <x:c r="E510" s="28" t="n">
        <x:v>7.2</x:v>
      </x:c>
      <x:c r="F510" s="28" t="str">
        <x:v>TE|83</x:v>
      </x:c>
      <x:c r="G510" s="28" t="n">
        <x:f>XLOOKUP(A510,'Assumptions'!$A$12:$A$15,'Assumptions'!$C$12:$C$15)</x:f>
        <x:v>143.3</x:v>
      </x:c>
      <x:c r="H510" s="28" t="n">
        <x:f>E510-G510</x:f>
        <x:v>-136.10000000000002</x:v>
      </x:c>
      <x:c r="I510" s="29" t="n">
        <x:v>0</x:v>
      </x:c>
      <x:c r="J510" s="28" t="n">
        <x:f>H510+I510</x:f>
        <x:v>-136.10000000000002</x:v>
      </x:c>
      <x:c r="K510" s="26" t="str">
        <x:v>Projection-only v1.0</x:v>
      </x:c>
      <x:c r="L510" s="26" t="n">
        <x:f>RANK.EQ(J510,$J$5:$J$619,0)</x:f>
        <x:v>538</x:v>
      </x:c>
      <x:c r="M510" s="26" t="str">
        <x:f>IF(I510=0,"PROJECTION ONLY","EDITORIAL ADJUSTMENT")</x:f>
        <x:v>PROJECTION ONLY</x:v>
      </x:c>
    </x:row>
    <x:row r="511">
      <x:c r="A511" s="26" t="str">
        <x:v>TE</x:v>
      </x:c>
      <x:c r="B511" s="26" t="n">
        <x:v>84</x:v>
      </x:c>
      <x:c r="C511" s="26" t="str">
        <x:v>Cade Stover</x:v>
      </x:c>
      <x:c r="D511" s="26" t="str">
        <x:v>HOU</x:v>
      </x:c>
      <x:c r="E511" s="28" t="n">
        <x:v>6.9</x:v>
      </x:c>
      <x:c r="F511" s="28" t="str">
        <x:v>TE|84</x:v>
      </x:c>
      <x:c r="G511" s="28" t="n">
        <x:f>XLOOKUP(A511,'Assumptions'!$A$12:$A$15,'Assumptions'!$C$12:$C$15)</x:f>
        <x:v>143.3</x:v>
      </x:c>
      <x:c r="H511" s="28" t="n">
        <x:f>E511-G511</x:f>
        <x:v>-136.4</x:v>
      </x:c>
      <x:c r="I511" s="29" t="n">
        <x:v>0</x:v>
      </x:c>
      <x:c r="J511" s="28" t="n">
        <x:f>H511+I511</x:f>
        <x:v>-136.4</x:v>
      </x:c>
      <x:c r="K511" s="26" t="str">
        <x:v>Projection-only v1.0</x:v>
      </x:c>
      <x:c r="L511" s="26" t="n">
        <x:f>RANK.EQ(J511,$J$5:$J$619,0)</x:f>
        <x:v>539</x:v>
      </x:c>
      <x:c r="M511" s="26" t="str">
        <x:f>IF(I511=0,"PROJECTION ONLY","EDITORIAL ADJUSTMENT")</x:f>
        <x:v>PROJECTION ONLY</x:v>
      </x:c>
    </x:row>
    <x:row r="512">
      <x:c r="A512" s="26" t="str">
        <x:v>TE</x:v>
      </x:c>
      <x:c r="B512" s="26" t="n">
        <x:v>85</x:v>
      </x:c>
      <x:c r="C512" s="26" t="str">
        <x:v>Hunter Long</x:v>
      </x:c>
      <x:c r="D512" s="26" t="str">
        <x:v>JAX</x:v>
      </x:c>
      <x:c r="E512" s="28" t="n">
        <x:v>7.4</x:v>
      </x:c>
      <x:c r="F512" s="28" t="str">
        <x:v>TE|85</x:v>
      </x:c>
      <x:c r="G512" s="28" t="n">
        <x:f>XLOOKUP(A512,'Assumptions'!$A$12:$A$15,'Assumptions'!$C$12:$C$15)</x:f>
        <x:v>143.3</x:v>
      </x:c>
      <x:c r="H512" s="28" t="n">
        <x:f>E512-G512</x:f>
        <x:v>-135.9</x:v>
      </x:c>
      <x:c r="I512" s="29" t="n">
        <x:v>0</x:v>
      </x:c>
      <x:c r="J512" s="28" t="n">
        <x:f>H512+I512</x:f>
        <x:v>-135.9</x:v>
      </x:c>
      <x:c r="K512" s="26" t="str">
        <x:v>Projection-only v1.0</x:v>
      </x:c>
      <x:c r="L512" s="26" t="n">
        <x:f>RANK.EQ(J512,$J$5:$J$619,0)</x:f>
        <x:v>536</x:v>
      </x:c>
      <x:c r="M512" s="26" t="str">
        <x:f>IF(I512=0,"PROJECTION ONLY","EDITORIAL ADJUSTMENT")</x:f>
        <x:v>PROJECTION ONLY</x:v>
      </x:c>
    </x:row>
    <x:row r="513">
      <x:c r="A513" s="26" t="str">
        <x:v>TE</x:v>
      </x:c>
      <x:c r="B513" s="26" t="n">
        <x:v>86</x:v>
      </x:c>
      <x:c r="C513" s="26" t="str">
        <x:v>Charlie Woerner</x:v>
      </x:c>
      <x:c r="D513" s="26" t="str">
        <x:v>ATL</x:v>
      </x:c>
      <x:c r="E513" s="28" t="n">
        <x:v>6.1</x:v>
      </x:c>
      <x:c r="F513" s="28" t="str">
        <x:v>TE|86</x:v>
      </x:c>
      <x:c r="G513" s="28" t="n">
        <x:f>XLOOKUP(A513,'Assumptions'!$A$12:$A$15,'Assumptions'!$C$12:$C$15)</x:f>
        <x:v>143.3</x:v>
      </x:c>
      <x:c r="H513" s="28" t="n">
        <x:f>E513-G513</x:f>
        <x:v>-137.20000000000002</x:v>
      </x:c>
      <x:c r="I513" s="29" t="n">
        <x:v>0</x:v>
      </x:c>
      <x:c r="J513" s="28" t="n">
        <x:f>H513+I513</x:f>
        <x:v>-137.20000000000002</x:v>
      </x:c>
      <x:c r="K513" s="26" t="str">
        <x:v>Projection-only v1.0</x:v>
      </x:c>
      <x:c r="L513" s="26" t="n">
        <x:f>RANK.EQ(J513,$J$5:$J$619,0)</x:f>
        <x:v>541</x:v>
      </x:c>
      <x:c r="M513" s="26" t="str">
        <x:f>IF(I513=0,"PROJECTION ONLY","EDITORIAL ADJUSTMENT")</x:f>
        <x:v>PROJECTION ONLY</x:v>
      </x:c>
    </x:row>
    <x:row r="514">
      <x:c r="A514" s="26" t="str">
        <x:v>TE</x:v>
      </x:c>
      <x:c r="B514" s="26" t="n">
        <x:v>87</x:v>
      </x:c>
      <x:c r="C514" s="26" t="str">
        <x:v>John Michael Gyllenborg</x:v>
      </x:c>
      <x:c r="D514" s="26" t="str">
        <x:v>KC</x:v>
      </x:c>
      <x:c r="E514" s="28" t="n">
        <x:v>6.5</x:v>
      </x:c>
      <x:c r="F514" s="28" t="str">
        <x:v>TE|87</x:v>
      </x:c>
      <x:c r="G514" s="28" t="n">
        <x:f>XLOOKUP(A514,'Assumptions'!$A$12:$A$15,'Assumptions'!$C$12:$C$15)</x:f>
        <x:v>143.3</x:v>
      </x:c>
      <x:c r="H514" s="28" t="n">
        <x:f>E514-G514</x:f>
        <x:v>-136.8</x:v>
      </x:c>
      <x:c r="I514" s="29" t="n">
        <x:v>0</x:v>
      </x:c>
      <x:c r="J514" s="28" t="n">
        <x:f>H514+I514</x:f>
        <x:v>-136.8</x:v>
      </x:c>
      <x:c r="K514" s="26" t="str">
        <x:v>Projection-only v1.0</x:v>
      </x:c>
      <x:c r="L514" s="26" t="n">
        <x:f>RANK.EQ(J514,$J$5:$J$619,0)</x:f>
        <x:v>540</x:v>
      </x:c>
      <x:c r="M514" s="26" t="str">
        <x:f>IF(I514=0,"PROJECTION ONLY","EDITORIAL ADJUSTMENT")</x:f>
        <x:v>PROJECTION ONLY</x:v>
      </x:c>
    </x:row>
    <x:row r="515">
      <x:c r="A515" s="26" t="str">
        <x:v>TE</x:v>
      </x:c>
      <x:c r="B515" s="26" t="n">
        <x:v>88</x:v>
      </x:c>
      <x:c r="C515" s="26" t="str">
        <x:v>CJ Dippre</x:v>
      </x:c>
      <x:c r="D515" s="26" t="str">
        <x:v>NE</x:v>
      </x:c>
      <x:c r="E515" s="28" t="n">
        <x:v>6.1</x:v>
      </x:c>
      <x:c r="F515" s="28" t="str">
        <x:v>TE|88</x:v>
      </x:c>
      <x:c r="G515" s="28" t="n">
        <x:f>XLOOKUP(A515,'Assumptions'!$A$12:$A$15,'Assumptions'!$C$12:$C$15)</x:f>
        <x:v>143.3</x:v>
      </x:c>
      <x:c r="H515" s="28" t="n">
        <x:f>E515-G515</x:f>
        <x:v>-137.20000000000002</x:v>
      </x:c>
      <x:c r="I515" s="29" t="n">
        <x:v>0</x:v>
      </x:c>
      <x:c r="J515" s="28" t="n">
        <x:f>H515+I515</x:f>
        <x:v>-137.20000000000002</x:v>
      </x:c>
      <x:c r="K515" s="26" t="str">
        <x:v>Projection-only v1.0</x:v>
      </x:c>
      <x:c r="L515" s="26" t="n">
        <x:f>RANK.EQ(J515,$J$5:$J$619,0)</x:f>
        <x:v>541</x:v>
      </x:c>
      <x:c r="M515" s="26" t="str">
        <x:f>IF(I515=0,"PROJECTION ONLY","EDITORIAL ADJUSTMENT")</x:f>
        <x:v>PROJECTION ONLY</x:v>
      </x:c>
    </x:row>
    <x:row r="516">
      <x:c r="A516" s="26" t="str">
        <x:v>TE</x:v>
      </x:c>
      <x:c r="B516" s="26" t="n">
        <x:v>89</x:v>
      </x:c>
      <x:c r="C516" s="26" t="str">
        <x:v>Jared Wiley</x:v>
      </x:c>
      <x:c r="D516" s="26" t="str">
        <x:v>KC</x:v>
      </x:c>
      <x:c r="E516" s="28" t="n">
        <x:v>6</x:v>
      </x:c>
      <x:c r="F516" s="28" t="str">
        <x:v>TE|89</x:v>
      </x:c>
      <x:c r="G516" s="28" t="n">
        <x:f>XLOOKUP(A516,'Assumptions'!$A$12:$A$15,'Assumptions'!$C$12:$C$15)</x:f>
        <x:v>143.3</x:v>
      </x:c>
      <x:c r="H516" s="28" t="n">
        <x:f>E516-G516</x:f>
        <x:v>-137.3</x:v>
      </x:c>
      <x:c r="I516" s="29" t="n">
        <x:v>0</x:v>
      </x:c>
      <x:c r="J516" s="28" t="n">
        <x:f>H516+I516</x:f>
        <x:v>-137.3</x:v>
      </x:c>
      <x:c r="K516" s="26" t="str">
        <x:v>Projection-only v1.0</x:v>
      </x:c>
      <x:c r="L516" s="26" t="n">
        <x:f>RANK.EQ(J516,$J$5:$J$619,0)</x:f>
        <x:v>543</x:v>
      </x:c>
      <x:c r="M516" s="26" t="str">
        <x:f>IF(I516=0,"PROJECTION ONLY","EDITORIAL ADJUSTMENT")</x:f>
        <x:v>PROJECTION ONLY</x:v>
      </x:c>
    </x:row>
    <x:row r="517">
      <x:c r="A517" s="26" t="str">
        <x:v>TE</x:v>
      </x:c>
      <x:c r="B517" s="26" t="n">
        <x:v>90</x:v>
      </x:c>
      <x:c r="C517" s="26" t="str">
        <x:v>John Bates</x:v>
      </x:c>
      <x:c r="D517" s="26" t="str">
        <x:v>WAS</x:v>
      </x:c>
      <x:c r="E517" s="28" t="n">
        <x:v>5.9</x:v>
      </x:c>
      <x:c r="F517" s="28" t="str">
        <x:v>TE|90</x:v>
      </x:c>
      <x:c r="G517" s="28" t="n">
        <x:f>XLOOKUP(A517,'Assumptions'!$A$12:$A$15,'Assumptions'!$C$12:$C$15)</x:f>
        <x:v>143.3</x:v>
      </x:c>
      <x:c r="H517" s="28" t="n">
        <x:f>E517-G517</x:f>
        <x:v>-137.4</x:v>
      </x:c>
      <x:c r="I517" s="29" t="n">
        <x:v>0</x:v>
      </x:c>
      <x:c r="J517" s="28" t="n">
        <x:f>H517+I517</x:f>
        <x:v>-137.4</x:v>
      </x:c>
      <x:c r="K517" s="26" t="str">
        <x:v>Projection-only v1.0</x:v>
      </x:c>
      <x:c r="L517" s="26" t="n">
        <x:f>RANK.EQ(J517,$J$5:$J$619,0)</x:f>
        <x:v>544</x:v>
      </x:c>
      <x:c r="M517" s="26" t="str">
        <x:f>IF(I517=0,"PROJECTION ONLY","EDITORIAL ADJUSTMENT")</x:f>
        <x:v>PROJECTION ONLY</x:v>
      </x:c>
    </x:row>
    <x:row r="518">
      <x:c r="A518" s="26" t="str">
        <x:v>TE</x:v>
      </x:c>
      <x:c r="B518" s="26" t="n">
        <x:v>91</x:v>
      </x:c>
      <x:c r="C518" s="26" t="str">
        <x:v>Tyler Conklin</x:v>
      </x:c>
      <x:c r="D518" s="26" t="str">
        <x:v>DET</x:v>
      </x:c>
      <x:c r="E518" s="28" t="n">
        <x:v>5.7</x:v>
      </x:c>
      <x:c r="F518" s="28" t="str">
        <x:v>TE|91</x:v>
      </x:c>
      <x:c r="G518" s="28" t="n">
        <x:f>XLOOKUP(A518,'Assumptions'!$A$12:$A$15,'Assumptions'!$C$12:$C$15)</x:f>
        <x:v>143.3</x:v>
      </x:c>
      <x:c r="H518" s="28" t="n">
        <x:f>E518-G518</x:f>
        <x:v>-137.60000000000002</x:v>
      </x:c>
      <x:c r="I518" s="29" t="n">
        <x:v>0</x:v>
      </x:c>
      <x:c r="J518" s="28" t="n">
        <x:f>H518+I518</x:f>
        <x:v>-137.60000000000002</x:v>
      </x:c>
      <x:c r="K518" s="26" t="str">
        <x:v>Projection-only v1.0</x:v>
      </x:c>
      <x:c r="L518" s="26" t="n">
        <x:f>RANK.EQ(J518,$J$5:$J$619,0)</x:f>
        <x:v>545</x:v>
      </x:c>
      <x:c r="M518" s="26" t="str">
        <x:f>IF(I518=0,"PROJECTION ONLY","EDITORIAL ADJUSTMENT")</x:f>
        <x:v>PROJECTION ONLY</x:v>
      </x:c>
    </x:row>
    <x:row r="519">
      <x:c r="A519" s="26" t="str">
        <x:v>TE</x:v>
      </x:c>
      <x:c r="B519" s="26" t="n">
        <x:v>92</x:v>
      </x:c>
      <x:c r="C519" s="26" t="str">
        <x:v>Ben Yurosek</x:v>
      </x:c>
      <x:c r="D519" s="26" t="str">
        <x:v>MIN</x:v>
      </x:c>
      <x:c r="E519" s="28" t="n">
        <x:v>5.5</x:v>
      </x:c>
      <x:c r="F519" s="28" t="str">
        <x:v>TE|92</x:v>
      </x:c>
      <x:c r="G519" s="28" t="n">
        <x:f>XLOOKUP(A519,'Assumptions'!$A$12:$A$15,'Assumptions'!$C$12:$C$15)</x:f>
        <x:v>143.3</x:v>
      </x:c>
      <x:c r="H519" s="28" t="n">
        <x:f>E519-G519</x:f>
        <x:v>-137.8</x:v>
      </x:c>
      <x:c r="I519" s="29" t="n">
        <x:v>0</x:v>
      </x:c>
      <x:c r="J519" s="28" t="n">
        <x:f>H519+I519</x:f>
        <x:v>-137.8</x:v>
      </x:c>
      <x:c r="K519" s="26" t="str">
        <x:v>Projection-only v1.0</x:v>
      </x:c>
      <x:c r="L519" s="26" t="n">
        <x:f>RANK.EQ(J519,$J$5:$J$619,0)</x:f>
        <x:v>547</x:v>
      </x:c>
      <x:c r="M519" s="26" t="str">
        <x:f>IF(I519=0,"PROJECTION ONLY","EDITORIAL ADJUSTMENT")</x:f>
        <x:v>PROJECTION ONLY</x:v>
      </x:c>
    </x:row>
    <x:row r="520">
      <x:c r="A520" s="26" t="str">
        <x:v>TE</x:v>
      </x:c>
      <x:c r="B520" s="26" t="n">
        <x:v>93</x:v>
      </x:c>
      <x:c r="C520" s="26" t="str">
        <x:v>Grant Calcaterra</x:v>
      </x:c>
      <x:c r="D520" s="26" t="str">
        <x:v>PHI</x:v>
      </x:c>
      <x:c r="E520" s="28" t="n">
        <x:v>5.6</x:v>
      </x:c>
      <x:c r="F520" s="28" t="str">
        <x:v>TE|93</x:v>
      </x:c>
      <x:c r="G520" s="28" t="n">
        <x:f>XLOOKUP(A520,'Assumptions'!$A$12:$A$15,'Assumptions'!$C$12:$C$15)</x:f>
        <x:v>143.3</x:v>
      </x:c>
      <x:c r="H520" s="28" t="n">
        <x:f>E520-G520</x:f>
        <x:v>-137.70000000000002</x:v>
      </x:c>
      <x:c r="I520" s="29" t="n">
        <x:v>0</x:v>
      </x:c>
      <x:c r="J520" s="28" t="n">
        <x:f>H520+I520</x:f>
        <x:v>-137.70000000000002</x:v>
      </x:c>
      <x:c r="K520" s="26" t="str">
        <x:v>Projection-only v1.0</x:v>
      </x:c>
      <x:c r="L520" s="26" t="n">
        <x:f>RANK.EQ(J520,$J$5:$J$619,0)</x:f>
        <x:v>546</x:v>
      </x:c>
      <x:c r="M520" s="26" t="str">
        <x:f>IF(I520=0,"PROJECTION ONLY","EDITORIAL ADJUSTMENT")</x:f>
        <x:v>PROJECTION ONLY</x:v>
      </x:c>
    </x:row>
    <x:row r="521">
      <x:c r="A521" s="26" t="str">
        <x:v>TE</x:v>
      </x:c>
      <x:c r="B521" s="26" t="n">
        <x:v>94</x:v>
      </x:c>
      <x:c r="C521" s="26" t="str">
        <x:v>Bauer Sharp</x:v>
      </x:c>
      <x:c r="D521" s="26" t="str">
        <x:v>TB</x:v>
      </x:c>
      <x:c r="E521" s="28" t="n">
        <x:v>5.5</x:v>
      </x:c>
      <x:c r="F521" s="28" t="str">
        <x:v>TE|94</x:v>
      </x:c>
      <x:c r="G521" s="28" t="n">
        <x:f>XLOOKUP(A521,'Assumptions'!$A$12:$A$15,'Assumptions'!$C$12:$C$15)</x:f>
        <x:v>143.3</x:v>
      </x:c>
      <x:c r="H521" s="28" t="n">
        <x:f>E521-G521</x:f>
        <x:v>-137.8</x:v>
      </x:c>
      <x:c r="I521" s="29" t="n">
        <x:v>0</x:v>
      </x:c>
      <x:c r="J521" s="28" t="n">
        <x:f>H521+I521</x:f>
        <x:v>-137.8</x:v>
      </x:c>
      <x:c r="K521" s="26" t="str">
        <x:v>Projection-only v1.0</x:v>
      </x:c>
      <x:c r="L521" s="26" t="n">
        <x:f>RANK.EQ(J521,$J$5:$J$619,0)</x:f>
        <x:v>547</x:v>
      </x:c>
      <x:c r="M521" s="26" t="str">
        <x:f>IF(I521=0,"PROJECTION ONLY","EDITORIAL ADJUSTMENT")</x:f>
        <x:v>PROJECTION ONLY</x:v>
      </x:c>
    </x:row>
    <x:row r="522">
      <x:c r="A522" s="26" t="str">
        <x:v>TE</x:v>
      </x:c>
      <x:c r="B522" s="26" t="n">
        <x:v>95</x:v>
      </x:c>
      <x:c r="C522" s="26" t="str">
        <x:v>Hayden Rucci</x:v>
      </x:c>
      <x:c r="D522" s="26" t="str">
        <x:v>SF</x:v>
      </x:c>
      <x:c r="E522" s="28" t="n">
        <x:v>5.2</x:v>
      </x:c>
      <x:c r="F522" s="28" t="str">
        <x:v>TE|95</x:v>
      </x:c>
      <x:c r="G522" s="28" t="n">
        <x:f>XLOOKUP(A522,'Assumptions'!$A$12:$A$15,'Assumptions'!$C$12:$C$15)</x:f>
        <x:v>143.3</x:v>
      </x:c>
      <x:c r="H522" s="28" t="n">
        <x:f>E522-G522</x:f>
        <x:v>-138.10000000000002</x:v>
      </x:c>
      <x:c r="I522" s="29" t="n">
        <x:v>0</x:v>
      </x:c>
      <x:c r="J522" s="28" t="n">
        <x:f>H522+I522</x:f>
        <x:v>-138.10000000000002</x:v>
      </x:c>
      <x:c r="K522" s="26" t="str">
        <x:v>Projection-only v1.0</x:v>
      </x:c>
      <x:c r="L522" s="26" t="n">
        <x:f>RANK.EQ(J522,$J$5:$J$619,0)</x:f>
        <x:v>550</x:v>
      </x:c>
      <x:c r="M522" s="26" t="str">
        <x:f>IF(I522=0,"PROJECTION ONLY","EDITORIAL ADJUSTMENT")</x:f>
        <x:v>PROJECTION ONLY</x:v>
      </x:c>
    </x:row>
    <x:row r="523">
      <x:c r="A523" s="26" t="str">
        <x:v>TE</x:v>
      </x:c>
      <x:c r="B523" s="26" t="n">
        <x:v>96</x:v>
      </x:c>
      <x:c r="C523" s="26" t="str">
        <x:v>Devin Culp</x:v>
      </x:c>
      <x:c r="D523" s="26" t="str">
        <x:v>TB</x:v>
      </x:c>
      <x:c r="E523" s="28" t="n">
        <x:v>5.4</x:v>
      </x:c>
      <x:c r="F523" s="28" t="str">
        <x:v>TE|96</x:v>
      </x:c>
      <x:c r="G523" s="28" t="n">
        <x:f>XLOOKUP(A523,'Assumptions'!$A$12:$A$15,'Assumptions'!$C$12:$C$15)</x:f>
        <x:v>143.3</x:v>
      </x:c>
      <x:c r="H523" s="28" t="n">
        <x:f>E523-G523</x:f>
        <x:v>-137.9</x:v>
      </x:c>
      <x:c r="I523" s="29" t="n">
        <x:v>0</x:v>
      </x:c>
      <x:c r="J523" s="28" t="n">
        <x:f>H523+I523</x:f>
        <x:v>-137.9</x:v>
      </x:c>
      <x:c r="K523" s="26" t="str">
        <x:v>Projection-only v1.0</x:v>
      </x:c>
      <x:c r="L523" s="26" t="n">
        <x:f>RANK.EQ(J523,$J$5:$J$619,0)</x:f>
        <x:v>549</x:v>
      </x:c>
      <x:c r="M523" s="26" t="str">
        <x:f>IF(I523=0,"PROJECTION ONLY","EDITORIAL ADJUSTMENT")</x:f>
        <x:v>PROJECTION ONLY</x:v>
      </x:c>
    </x:row>
    <x:row r="524">
      <x:c r="A524" s="26" t="str">
        <x:v>TE</x:v>
      </x:c>
      <x:c r="B524" s="26" t="n">
        <x:v>97</x:v>
      </x:c>
      <x:c r="C524" s="26" t="str">
        <x:v>Nate Adkins</x:v>
      </x:c>
      <x:c r="D524" s="26" t="str">
        <x:v>DEN</x:v>
      </x:c>
      <x:c r="E524" s="28" t="n">
        <x:v>5.1</x:v>
      </x:c>
      <x:c r="F524" s="28" t="str">
        <x:v>TE|97</x:v>
      </x:c>
      <x:c r="G524" s="28" t="n">
        <x:f>XLOOKUP(A524,'Assumptions'!$A$12:$A$15,'Assumptions'!$C$12:$C$15)</x:f>
        <x:v>143.3</x:v>
      </x:c>
      <x:c r="H524" s="28" t="n">
        <x:f>E524-G524</x:f>
        <x:v>-138.20000000000002</x:v>
      </x:c>
      <x:c r="I524" s="29" t="n">
        <x:v>0</x:v>
      </x:c>
      <x:c r="J524" s="28" t="n">
        <x:f>H524+I524</x:f>
        <x:v>-138.20000000000002</x:v>
      </x:c>
      <x:c r="K524" s="26" t="str">
        <x:v>Projection-only v1.0</x:v>
      </x:c>
      <x:c r="L524" s="26" t="n">
        <x:f>RANK.EQ(J524,$J$5:$J$619,0)</x:f>
        <x:v>551</x:v>
      </x:c>
      <x:c r="M524" s="26" t="str">
        <x:f>IF(I524=0,"PROJECTION ONLY","EDITORIAL ADJUSTMENT")</x:f>
        <x:v>PROJECTION ONLY</x:v>
      </x:c>
    </x:row>
    <x:row r="525">
      <x:c r="A525" s="26" t="str">
        <x:v>TE</x:v>
      </x:c>
      <x:c r="B525" s="26" t="n">
        <x:v>98</x:v>
      </x:c>
      <x:c r="C525" s="26" t="str">
        <x:v>Tip Reiman</x:v>
      </x:c>
      <x:c r="D525" s="26" t="str">
        <x:v>ARI</x:v>
      </x:c>
      <x:c r="E525" s="28" t="n">
        <x:v>4.9</x:v>
      </x:c>
      <x:c r="F525" s="28" t="str">
        <x:v>TE|98</x:v>
      </x:c>
      <x:c r="G525" s="28" t="n">
        <x:f>XLOOKUP(A525,'Assumptions'!$A$12:$A$15,'Assumptions'!$C$12:$C$15)</x:f>
        <x:v>143.3</x:v>
      </x:c>
      <x:c r="H525" s="28" t="n">
        <x:f>E525-G525</x:f>
        <x:v>-138.4</x:v>
      </x:c>
      <x:c r="I525" s="29" t="n">
        <x:v>0</x:v>
      </x:c>
      <x:c r="J525" s="28" t="n">
        <x:f>H525+I525</x:f>
        <x:v>-138.4</x:v>
      </x:c>
      <x:c r="K525" s="26" t="str">
        <x:v>Projection-only v1.0</x:v>
      </x:c>
      <x:c r="L525" s="26" t="n">
        <x:f>RANK.EQ(J525,$J$5:$J$619,0)</x:f>
        <x:v>553</x:v>
      </x:c>
      <x:c r="M525" s="26" t="str">
        <x:f>IF(I525=0,"PROJECTION ONLY","EDITORIAL ADJUSTMENT")</x:f>
        <x:v>PROJECTION ONLY</x:v>
      </x:c>
    </x:row>
    <x:row r="526">
      <x:c r="A526" s="26" t="str">
        <x:v>TE</x:v>
      </x:c>
      <x:c r="B526" s="26" t="n">
        <x:v>99</x:v>
      </x:c>
      <x:c r="C526" s="26" t="str">
        <x:v>Foster Moreau</x:v>
      </x:c>
      <x:c r="D526" s="26" t="str">
        <x:v>HOU</x:v>
      </x:c>
      <x:c r="E526" s="28" t="n">
        <x:v>5</x:v>
      </x:c>
      <x:c r="F526" s="28" t="str">
        <x:v>TE|99</x:v>
      </x:c>
      <x:c r="G526" s="28" t="n">
        <x:f>XLOOKUP(A526,'Assumptions'!$A$12:$A$15,'Assumptions'!$C$12:$C$15)</x:f>
        <x:v>143.3</x:v>
      </x:c>
      <x:c r="H526" s="28" t="n">
        <x:f>E526-G526</x:f>
        <x:v>-138.3</x:v>
      </x:c>
      <x:c r="I526" s="29" t="n">
        <x:v>0</x:v>
      </x:c>
      <x:c r="J526" s="28" t="n">
        <x:f>H526+I526</x:f>
        <x:v>-138.3</x:v>
      </x:c>
      <x:c r="K526" s="26" t="str">
        <x:v>Projection-only v1.0</x:v>
      </x:c>
      <x:c r="L526" s="26" t="n">
        <x:f>RANK.EQ(J526,$J$5:$J$619,0)</x:f>
        <x:v>552</x:v>
      </x:c>
      <x:c r="M526" s="26" t="str">
        <x:f>IF(I526=0,"PROJECTION ONLY","EDITORIAL ADJUSTMENT")</x:f>
        <x:v>PROJECTION ONLY</x:v>
      </x:c>
    </x:row>
    <x:row r="527">
      <x:c r="A527" s="26" t="str">
        <x:v>TE</x:v>
      </x:c>
      <x:c r="B527" s="26" t="n">
        <x:v>100</x:v>
      </x:c>
      <x:c r="C527" s="26" t="str">
        <x:v>Jeremy Ruckert</x:v>
      </x:c>
      <x:c r="D527" s="26" t="str">
        <x:v>NYJ</x:v>
      </x:c>
      <x:c r="E527" s="28" t="n">
        <x:v>4.4</x:v>
      </x:c>
      <x:c r="F527" s="28" t="str">
        <x:v>TE|100</x:v>
      </x:c>
      <x:c r="G527" s="28" t="n">
        <x:f>XLOOKUP(A527,'Assumptions'!$A$12:$A$15,'Assumptions'!$C$12:$C$15)</x:f>
        <x:v>143.3</x:v>
      </x:c>
      <x:c r="H527" s="28" t="n">
        <x:f>E527-G527</x:f>
        <x:v>-138.9</x:v>
      </x:c>
      <x:c r="I527" s="29" t="n">
        <x:v>0</x:v>
      </x:c>
      <x:c r="J527" s="28" t="n">
        <x:f>H527+I527</x:f>
        <x:v>-138.9</x:v>
      </x:c>
      <x:c r="K527" s="26" t="str">
        <x:v>Projection-only v1.0</x:v>
      </x:c>
      <x:c r="L527" s="26" t="n">
        <x:f>RANK.EQ(J527,$J$5:$J$619,0)</x:f>
        <x:v>556</x:v>
      </x:c>
      <x:c r="M527" s="26" t="str">
        <x:f>IF(I527=0,"PROJECTION ONLY","EDITORIAL ADJUSTMENT")</x:f>
        <x:v>PROJECTION ONLY</x:v>
      </x:c>
    </x:row>
    <x:row r="528">
      <x:c r="A528" s="26" t="str">
        <x:v>TE</x:v>
      </x:c>
      <x:c r="B528" s="26" t="n">
        <x:v>101</x:v>
      </x:c>
      <x:c r="C528" s="26" t="str">
        <x:v>Josh Cuevas</x:v>
      </x:c>
      <x:c r="D528" s="26" t="str">
        <x:v>BAL</x:v>
      </x:c>
      <x:c r="E528" s="28" t="n">
        <x:v>4.6</x:v>
      </x:c>
      <x:c r="F528" s="28" t="str">
        <x:v>TE|101</x:v>
      </x:c>
      <x:c r="G528" s="28" t="n">
        <x:f>XLOOKUP(A528,'Assumptions'!$A$12:$A$15,'Assumptions'!$C$12:$C$15)</x:f>
        <x:v>143.3</x:v>
      </x:c>
      <x:c r="H528" s="28" t="n">
        <x:f>E528-G528</x:f>
        <x:v>-138.70000000000002</x:v>
      </x:c>
      <x:c r="I528" s="29" t="n">
        <x:v>0</x:v>
      </x:c>
      <x:c r="J528" s="28" t="n">
        <x:f>H528+I528</x:f>
        <x:v>-138.70000000000002</x:v>
      </x:c>
      <x:c r="K528" s="26" t="str">
        <x:v>Projection-only v1.0</x:v>
      </x:c>
      <x:c r="L528" s="26" t="n">
        <x:f>RANK.EQ(J528,$J$5:$J$619,0)</x:f>
        <x:v>554</x:v>
      </x:c>
      <x:c r="M528" s="26" t="str">
        <x:f>IF(I528=0,"PROJECTION ONLY","EDITORIAL ADJUSTMENT")</x:f>
        <x:v>PROJECTION ONLY</x:v>
      </x:c>
    </x:row>
    <x:row r="529">
      <x:c r="A529" s="26" t="str">
        <x:v>TE</x:v>
      </x:c>
      <x:c r="B529" s="26" t="n">
        <x:v>102</x:v>
      </x:c>
      <x:c r="C529" s="26" t="str">
        <x:v>Jackson Hawes</x:v>
      </x:c>
      <x:c r="D529" s="26" t="str">
        <x:v>BUF</x:v>
      </x:c>
      <x:c r="E529" s="28" t="n">
        <x:v>4.6</x:v>
      </x:c>
      <x:c r="F529" s="28" t="str">
        <x:v>TE|102</x:v>
      </x:c>
      <x:c r="G529" s="28" t="n">
        <x:f>XLOOKUP(A529,'Assumptions'!$A$12:$A$15,'Assumptions'!$C$12:$C$15)</x:f>
        <x:v>143.3</x:v>
      </x:c>
      <x:c r="H529" s="28" t="n">
        <x:f>E529-G529</x:f>
        <x:v>-138.70000000000002</x:v>
      </x:c>
      <x:c r="I529" s="29" t="n">
        <x:v>0</x:v>
      </x:c>
      <x:c r="J529" s="28" t="n">
        <x:f>H529+I529</x:f>
        <x:v>-138.70000000000002</x:v>
      </x:c>
      <x:c r="K529" s="26" t="str">
        <x:v>Projection-only v1.0</x:v>
      </x:c>
      <x:c r="L529" s="26" t="n">
        <x:f>RANK.EQ(J529,$J$5:$J$619,0)</x:f>
        <x:v>554</x:v>
      </x:c>
      <x:c r="M529" s="26" t="str">
        <x:f>IF(I529=0,"PROJECTION ONLY","EDITORIAL ADJUSTMENT")</x:f>
        <x:v>PROJECTION ONLY</x:v>
      </x:c>
    </x:row>
    <x:row r="530">
      <x:c r="A530" s="26" t="str">
        <x:v>TE</x:v>
      </x:c>
      <x:c r="B530" s="26" t="n">
        <x:v>103</x:v>
      </x:c>
      <x:c r="C530" s="26" t="str">
        <x:v>Will Mallory</x:v>
      </x:c>
      <x:c r="D530" s="26" t="str">
        <x:v>IND</x:v>
      </x:c>
      <x:c r="E530" s="28" t="n">
        <x:v>4</x:v>
      </x:c>
      <x:c r="F530" s="28" t="str">
        <x:v>TE|103</x:v>
      </x:c>
      <x:c r="G530" s="28" t="n">
        <x:f>XLOOKUP(A530,'Assumptions'!$A$12:$A$15,'Assumptions'!$C$12:$C$15)</x:f>
        <x:v>143.3</x:v>
      </x:c>
      <x:c r="H530" s="28" t="n">
        <x:f>E530-G530</x:f>
        <x:v>-139.3</x:v>
      </x:c>
      <x:c r="I530" s="29" t="n">
        <x:v>0</x:v>
      </x:c>
      <x:c r="J530" s="28" t="n">
        <x:f>H530+I530</x:f>
        <x:v>-139.3</x:v>
      </x:c>
      <x:c r="K530" s="26" t="str">
        <x:v>Projection-only v1.0</x:v>
      </x:c>
      <x:c r="L530" s="26" t="n">
        <x:f>RANK.EQ(J530,$J$5:$J$619,0)</x:f>
        <x:v>557</x:v>
      </x:c>
      <x:c r="M530" s="26" t="str">
        <x:f>IF(I530=0,"PROJECTION ONLY","EDITORIAL ADJUSTMENT")</x:f>
        <x:v>PROJECTION ONLY</x:v>
      </x:c>
    </x:row>
    <x:row r="531">
      <x:c r="A531" s="26" t="str">
        <x:v>TE</x:v>
      </x:c>
      <x:c r="B531" s="26" t="n">
        <x:v>104</x:v>
      </x:c>
      <x:c r="C531" s="26" t="str">
        <x:v>Payne Durham</x:v>
      </x:c>
      <x:c r="D531" s="26" t="str">
        <x:v>TB</x:v>
      </x:c>
      <x:c r="E531" s="28" t="n">
        <x:v>4</x:v>
      </x:c>
      <x:c r="F531" s="28" t="str">
        <x:v>TE|104</x:v>
      </x:c>
      <x:c r="G531" s="28" t="n">
        <x:f>XLOOKUP(A531,'Assumptions'!$A$12:$A$15,'Assumptions'!$C$12:$C$15)</x:f>
        <x:v>143.3</x:v>
      </x:c>
      <x:c r="H531" s="28" t="n">
        <x:f>E531-G531</x:f>
        <x:v>-139.3</x:v>
      </x:c>
      <x:c r="I531" s="29" t="n">
        <x:v>0</x:v>
      </x:c>
      <x:c r="J531" s="28" t="n">
        <x:f>H531+I531</x:f>
        <x:v>-139.3</x:v>
      </x:c>
      <x:c r="K531" s="26" t="str">
        <x:v>Projection-only v1.0</x:v>
      </x:c>
      <x:c r="L531" s="26" t="n">
        <x:f>RANK.EQ(J531,$J$5:$J$619,0)</x:f>
        <x:v>557</x:v>
      </x:c>
      <x:c r="M531" s="26" t="str">
        <x:f>IF(I531=0,"PROJECTION ONLY","EDITORIAL ADJUSTMENT")</x:f>
        <x:v>PROJECTION ONLY</x:v>
      </x:c>
    </x:row>
    <x:row r="532">
      <x:c r="A532" s="26" t="str">
        <x:v>TE</x:v>
      </x:c>
      <x:c r="B532" s="26" t="n">
        <x:v>105</x:v>
      </x:c>
      <x:c r="C532" s="26" t="str">
        <x:v>Mo Alie-Cox</x:v>
      </x:c>
      <x:c r="D532" s="26" t="str">
        <x:v>IND</x:v>
      </x:c>
      <x:c r="E532" s="28" t="n">
        <x:v>3.7</x:v>
      </x:c>
      <x:c r="F532" s="28" t="str">
        <x:v>TE|105</x:v>
      </x:c>
      <x:c r="G532" s="28" t="n">
        <x:f>XLOOKUP(A532,'Assumptions'!$A$12:$A$15,'Assumptions'!$C$12:$C$15)</x:f>
        <x:v>143.3</x:v>
      </x:c>
      <x:c r="H532" s="28" t="n">
        <x:f>E532-G532</x:f>
        <x:v>-139.60000000000002</x:v>
      </x:c>
      <x:c r="I532" s="29" t="n">
        <x:v>0</x:v>
      </x:c>
      <x:c r="J532" s="28" t="n">
        <x:f>H532+I532</x:f>
        <x:v>-139.60000000000002</x:v>
      </x:c>
      <x:c r="K532" s="26" t="str">
        <x:v>Projection-only v1.0</x:v>
      </x:c>
      <x:c r="L532" s="26" t="n">
        <x:f>RANK.EQ(J532,$J$5:$J$619,0)</x:f>
        <x:v>559</x:v>
      </x:c>
      <x:c r="M532" s="26" t="str">
        <x:f>IF(I532=0,"PROJECTION ONLY","EDITORIAL ADJUSTMENT")</x:f>
        <x:v>PROJECTION ONLY</x:v>
      </x:c>
    </x:row>
    <x:row r="533">
      <x:c r="A533" s="26" t="str">
        <x:v>TE</x:v>
      </x:c>
      <x:c r="B533" s="26" t="n">
        <x:v>106</x:v>
      </x:c>
      <x:c r="C533" s="26" t="str">
        <x:v>Keleki Latu</x:v>
      </x:c>
      <x:c r="D533" s="26" t="str">
        <x:v>BUF</x:v>
      </x:c>
      <x:c r="E533" s="28" t="n">
        <x:v>3.6</x:v>
      </x:c>
      <x:c r="F533" s="28" t="str">
        <x:v>TE|106</x:v>
      </x:c>
      <x:c r="G533" s="28" t="n">
        <x:f>XLOOKUP(A533,'Assumptions'!$A$12:$A$15,'Assumptions'!$C$12:$C$15)</x:f>
        <x:v>143.3</x:v>
      </x:c>
      <x:c r="H533" s="28" t="n">
        <x:f>E533-G533</x:f>
        <x:v>-139.70000000000002</x:v>
      </x:c>
      <x:c r="I533" s="29" t="n">
        <x:v>0</x:v>
      </x:c>
      <x:c r="J533" s="28" t="n">
        <x:f>H533+I533</x:f>
        <x:v>-139.70000000000002</x:v>
      </x:c>
      <x:c r="K533" s="26" t="str">
        <x:v>Projection-only v1.0</x:v>
      </x:c>
      <x:c r="L533" s="26" t="n">
        <x:f>RANK.EQ(J533,$J$5:$J$619,0)</x:f>
        <x:v>560</x:v>
      </x:c>
      <x:c r="M533" s="26" t="str">
        <x:f>IF(I533=0,"PROJECTION ONLY","EDITORIAL ADJUSTMENT")</x:f>
        <x:v>PROJECTION ONLY</x:v>
      </x:c>
    </x:row>
    <x:row r="534">
      <x:c r="A534" s="26" t="str">
        <x:v>TE</x:v>
      </x:c>
      <x:c r="B534" s="26" t="n">
        <x:v>107</x:v>
      </x:c>
      <x:c r="C534" s="26" t="str">
        <x:v>Dallen Bentley</x:v>
      </x:c>
      <x:c r="D534" s="26" t="str">
        <x:v>DEN</x:v>
      </x:c>
      <x:c r="E534" s="28" t="n">
        <x:v>3.3</x:v>
      </x:c>
      <x:c r="F534" s="28" t="str">
        <x:v>TE|107</x:v>
      </x:c>
      <x:c r="G534" s="28" t="n">
        <x:f>XLOOKUP(A534,'Assumptions'!$A$12:$A$15,'Assumptions'!$C$12:$C$15)</x:f>
        <x:v>143.3</x:v>
      </x:c>
      <x:c r="H534" s="28" t="n">
        <x:f>E534-G534</x:f>
        <x:v>-140</x:v>
      </x:c>
      <x:c r="I534" s="29" t="n">
        <x:v>0</x:v>
      </x:c>
      <x:c r="J534" s="28" t="n">
        <x:f>H534+I534</x:f>
        <x:v>-140</x:v>
      </x:c>
      <x:c r="K534" s="26" t="str">
        <x:v>Projection-only v1.0</x:v>
      </x:c>
      <x:c r="L534" s="26" t="n">
        <x:f>RANK.EQ(J534,$J$5:$J$619,0)</x:f>
        <x:v>561</x:v>
      </x:c>
      <x:c r="M534" s="26" t="str">
        <x:f>IF(I534=0,"PROJECTION ONLY","EDITORIAL ADJUSTMENT")</x:f>
        <x:v>PROJECTION ONLY</x:v>
      </x:c>
    </x:row>
    <x:row r="535">
      <x:c r="A535" s="26" t="str">
        <x:v>TE</x:v>
      </x:c>
      <x:c r="B535" s="26" t="n">
        <x:v>108</x:v>
      </x:c>
      <x:c r="C535" s="26" t="str">
        <x:v>Tanner Koziol</x:v>
      </x:c>
      <x:c r="D535" s="26" t="str">
        <x:v>JAX</x:v>
      </x:c>
      <x:c r="E535" s="28" t="n">
        <x:v>3.1</x:v>
      </x:c>
      <x:c r="F535" s="28" t="str">
        <x:v>TE|108</x:v>
      </x:c>
      <x:c r="G535" s="28" t="n">
        <x:f>XLOOKUP(A535,'Assumptions'!$A$12:$A$15,'Assumptions'!$C$12:$C$15)</x:f>
        <x:v>143.3</x:v>
      </x:c>
      <x:c r="H535" s="28" t="n">
        <x:f>E535-G535</x:f>
        <x:v>-140.20000000000002</x:v>
      </x:c>
      <x:c r="I535" s="29" t="n">
        <x:v>0</x:v>
      </x:c>
      <x:c r="J535" s="28" t="n">
        <x:f>H535+I535</x:f>
        <x:v>-140.20000000000002</x:v>
      </x:c>
      <x:c r="K535" s="26" t="str">
        <x:v>Projection-only v1.0</x:v>
      </x:c>
      <x:c r="L535" s="26" t="n">
        <x:f>RANK.EQ(J535,$J$5:$J$619,0)</x:f>
        <x:v>562</x:v>
      </x:c>
      <x:c r="M535" s="26" t="str">
        <x:f>IF(I535=0,"PROJECTION ONLY","EDITORIAL ADJUSTMENT")</x:f>
        <x:v>PROJECTION ONLY</x:v>
      </x:c>
    </x:row>
    <x:row r="536">
      <x:c r="A536" s="26" t="str">
        <x:v>TE</x:v>
      </x:c>
      <x:c r="B536" s="26" t="n">
        <x:v>109</x:v>
      </x:c>
      <x:c r="C536" s="26" t="str">
        <x:v>Jaren Kanak</x:v>
      </x:c>
      <x:c r="D536" s="26" t="str">
        <x:v>TEN</x:v>
      </x:c>
      <x:c r="E536" s="28" t="n">
        <x:v>2.9</x:v>
      </x:c>
      <x:c r="F536" s="28" t="str">
        <x:v>TE|109</x:v>
      </x:c>
      <x:c r="G536" s="28" t="n">
        <x:f>XLOOKUP(A536,'Assumptions'!$A$12:$A$15,'Assumptions'!$C$12:$C$15)</x:f>
        <x:v>143.3</x:v>
      </x:c>
      <x:c r="H536" s="28" t="n">
        <x:f>E536-G536</x:f>
        <x:v>-140.4</x:v>
      </x:c>
      <x:c r="I536" s="29" t="n">
        <x:v>0</x:v>
      </x:c>
      <x:c r="J536" s="28" t="n">
        <x:f>H536+I536</x:f>
        <x:v>-140.4</x:v>
      </x:c>
      <x:c r="K536" s="26" t="str">
        <x:v>Projection-only v1.0</x:v>
      </x:c>
      <x:c r="L536" s="26" t="n">
        <x:f>RANK.EQ(J536,$J$5:$J$619,0)</x:f>
        <x:v>563</x:v>
      </x:c>
      <x:c r="M536" s="26" t="str">
        <x:f>IF(I536=0,"PROJECTION ONLY","EDITORIAL ADJUSTMENT")</x:f>
        <x:v>PROJECTION ONLY</x:v>
      </x:c>
    </x:row>
    <x:row r="537">
      <x:c r="A537" s="26" t="str">
        <x:v>TE</x:v>
      </x:c>
      <x:c r="B537" s="26" t="n">
        <x:v>110</x:v>
      </x:c>
      <x:c r="C537" s="26" t="str">
        <x:v>Seydou Traore</x:v>
      </x:c>
      <x:c r="D537" s="26" t="str">
        <x:v>MIA</x:v>
      </x:c>
      <x:c r="E537" s="28" t="n">
        <x:v>2.6</x:v>
      </x:c>
      <x:c r="F537" s="28" t="str">
        <x:v>TE|110</x:v>
      </x:c>
      <x:c r="G537" s="28" t="n">
        <x:f>XLOOKUP(A537,'Assumptions'!$A$12:$A$15,'Assumptions'!$C$12:$C$15)</x:f>
        <x:v>143.3</x:v>
      </x:c>
      <x:c r="H537" s="28" t="n">
        <x:f>E537-G537</x:f>
        <x:v>-140.70000000000002</x:v>
      </x:c>
      <x:c r="I537" s="29" t="n">
        <x:v>0</x:v>
      </x:c>
      <x:c r="J537" s="28" t="n">
        <x:f>H537+I537</x:f>
        <x:v>-140.70000000000002</x:v>
      </x:c>
      <x:c r="K537" s="26" t="str">
        <x:v>Projection-only v1.0</x:v>
      </x:c>
      <x:c r="L537" s="26" t="n">
        <x:f>RANK.EQ(J537,$J$5:$J$619,0)</x:f>
        <x:v>564</x:v>
      </x:c>
      <x:c r="M537" s="26" t="str">
        <x:f>IF(I537=0,"PROJECTION ONLY","EDITORIAL ADJUSTMENT")</x:f>
        <x:v>PROJECTION ONLY</x:v>
      </x:c>
    </x:row>
    <x:row r="538">
      <x:c r="A538" s="26" t="str">
        <x:v>TE</x:v>
      </x:c>
      <x:c r="B538" s="26" t="n">
        <x:v>111</x:v>
      </x:c>
      <x:c r="C538" s="26" t="str">
        <x:v>Lucas Krull</x:v>
      </x:c>
      <x:c r="D538" s="26" t="str">
        <x:v>DEN</x:v>
      </x:c>
      <x:c r="E538" s="28" t="n">
        <x:v>2.6</x:v>
      </x:c>
      <x:c r="F538" s="28" t="str">
        <x:v>TE|111</x:v>
      </x:c>
      <x:c r="G538" s="28" t="n">
        <x:f>XLOOKUP(A538,'Assumptions'!$A$12:$A$15,'Assumptions'!$C$12:$C$15)</x:f>
        <x:v>143.3</x:v>
      </x:c>
      <x:c r="H538" s="28" t="n">
        <x:f>E538-G538</x:f>
        <x:v>-140.70000000000002</x:v>
      </x:c>
      <x:c r="I538" s="29" t="n">
        <x:v>0</x:v>
      </x:c>
      <x:c r="J538" s="28" t="n">
        <x:f>H538+I538</x:f>
        <x:v>-140.70000000000002</x:v>
      </x:c>
      <x:c r="K538" s="26" t="str">
        <x:v>Projection-only v1.0</x:v>
      </x:c>
      <x:c r="L538" s="26" t="n">
        <x:f>RANK.EQ(J538,$J$5:$J$619,0)</x:f>
        <x:v>564</x:v>
      </x:c>
      <x:c r="M538" s="26" t="str">
        <x:f>IF(I538=0,"PROJECTION ONLY","EDITORIAL ADJUSTMENT")</x:f>
        <x:v>PROJECTION ONLY</x:v>
      </x:c>
    </x:row>
    <x:row r="539">
      <x:c r="A539" s="26" t="str">
        <x:v>TE</x:v>
      </x:c>
      <x:c r="B539" s="26" t="n">
        <x:v>112</x:v>
      </x:c>
      <x:c r="C539" s="26" t="str">
        <x:v>Ian Thomas</x:v>
      </x:c>
      <x:c r="D539" s="26" t="str">
        <x:v>LV</x:v>
      </x:c>
      <x:c r="E539" s="28" t="n">
        <x:v>2.3</x:v>
      </x:c>
      <x:c r="F539" s="28" t="str">
        <x:v>TE|112</x:v>
      </x:c>
      <x:c r="G539" s="28" t="n">
        <x:f>XLOOKUP(A539,'Assumptions'!$A$12:$A$15,'Assumptions'!$C$12:$C$15)</x:f>
        <x:v>143.3</x:v>
      </x:c>
      <x:c r="H539" s="28" t="n">
        <x:f>E539-G539</x:f>
        <x:v>-141</x:v>
      </x:c>
      <x:c r="I539" s="29" t="n">
        <x:v>0</x:v>
      </x:c>
      <x:c r="J539" s="28" t="n">
        <x:f>H539+I539</x:f>
        <x:v>-141</x:v>
      </x:c>
      <x:c r="K539" s="26" t="str">
        <x:v>Projection-only v1.0</x:v>
      </x:c>
      <x:c r="L539" s="26" t="n">
        <x:f>RANK.EQ(J539,$J$5:$J$619,0)</x:f>
        <x:v>567</x:v>
      </x:c>
      <x:c r="M539" s="26" t="str">
        <x:f>IF(I539=0,"PROJECTION ONLY","EDITORIAL ADJUSTMENT")</x:f>
        <x:v>PROJECTION ONLY</x:v>
      </x:c>
    </x:row>
    <x:row r="540">
      <x:c r="A540" s="26" t="str">
        <x:v>TE</x:v>
      </x:c>
      <x:c r="B540" s="26" t="n">
        <x:v>113</x:v>
      </x:c>
      <x:c r="C540" s="26" t="str">
        <x:v>Eric Saubert</x:v>
      </x:c>
      <x:c r="D540" s="26" t="str">
        <x:v>SEA</x:v>
      </x:c>
      <x:c r="E540" s="28" t="n">
        <x:v>2.4</x:v>
      </x:c>
      <x:c r="F540" s="28" t="str">
        <x:v>TE|113</x:v>
      </x:c>
      <x:c r="G540" s="28" t="n">
        <x:f>XLOOKUP(A540,'Assumptions'!$A$12:$A$15,'Assumptions'!$C$12:$C$15)</x:f>
        <x:v>143.3</x:v>
      </x:c>
      <x:c r="H540" s="28" t="n">
        <x:f>E540-G540</x:f>
        <x:v>-140.9</x:v>
      </x:c>
      <x:c r="I540" s="29" t="n">
        <x:v>0</x:v>
      </x:c>
      <x:c r="J540" s="28" t="n">
        <x:f>H540+I540</x:f>
        <x:v>-140.9</x:v>
      </x:c>
      <x:c r="K540" s="26" t="str">
        <x:v>Projection-only v1.0</x:v>
      </x:c>
      <x:c r="L540" s="26" t="n">
        <x:f>RANK.EQ(J540,$J$5:$J$619,0)</x:f>
        <x:v>566</x:v>
      </x:c>
      <x:c r="M540" s="26" t="str">
        <x:f>IF(I540=0,"PROJECTION ONLY","EDITORIAL ADJUSTMENT")</x:f>
        <x:v>PROJECTION ONLY</x:v>
      </x:c>
    </x:row>
    <x:row r="541">
      <x:c r="A541" s="26" t="str">
        <x:v>TE</x:v>
      </x:c>
      <x:c r="B541" s="26" t="n">
        <x:v>114</x:v>
      </x:c>
      <x:c r="C541" s="26" t="str">
        <x:v>Justin Joly</x:v>
      </x:c>
      <x:c r="D541" s="26" t="str">
        <x:v>DEN</x:v>
      </x:c>
      <x:c r="E541" s="28" t="n">
        <x:v>2.2</x:v>
      </x:c>
      <x:c r="F541" s="28" t="str">
        <x:v>TE|114</x:v>
      </x:c>
      <x:c r="G541" s="28" t="n">
        <x:f>XLOOKUP(A541,'Assumptions'!$A$12:$A$15,'Assumptions'!$C$12:$C$15)</x:f>
        <x:v>143.3</x:v>
      </x:c>
      <x:c r="H541" s="28" t="n">
        <x:f>E541-G541</x:f>
        <x:v>-141.10000000000002</x:v>
      </x:c>
      <x:c r="I541" s="29" t="n">
        <x:v>0</x:v>
      </x:c>
      <x:c r="J541" s="28" t="n">
        <x:f>H541+I541</x:f>
        <x:v>-141.10000000000002</x:v>
      </x:c>
      <x:c r="K541" s="26" t="str">
        <x:v>Projection-only v1.0</x:v>
      </x:c>
      <x:c r="L541" s="26" t="n">
        <x:f>RANK.EQ(J541,$J$5:$J$619,0)</x:f>
        <x:v>568</x:v>
      </x:c>
      <x:c r="M541" s="26" t="str">
        <x:f>IF(I541=0,"PROJECTION ONLY","EDITORIAL ADJUSTMENT")</x:f>
        <x:v>PROJECTION ONLY</x:v>
      </x:c>
    </x:row>
    <x:row r="542">
      <x:c r="A542" s="26" t="str">
        <x:v>TE</x:v>
      </x:c>
      <x:c r="B542" s="26" t="n">
        <x:v>115</x:v>
      </x:c>
      <x:c r="C542" s="26" t="str">
        <x:v>Luke Farrell</x:v>
      </x:c>
      <x:c r="D542" s="26" t="str">
        <x:v>SF</x:v>
      </x:c>
      <x:c r="E542" s="28" t="n">
        <x:v>1.8</x:v>
      </x:c>
      <x:c r="F542" s="28" t="str">
        <x:v>TE|115</x:v>
      </x:c>
      <x:c r="G542" s="28" t="n">
        <x:f>XLOOKUP(A542,'Assumptions'!$A$12:$A$15,'Assumptions'!$C$12:$C$15)</x:f>
        <x:v>143.3</x:v>
      </x:c>
      <x:c r="H542" s="28" t="n">
        <x:f>E542-G542</x:f>
        <x:v>-141.5</x:v>
      </x:c>
      <x:c r="I542" s="29" t="n">
        <x:v>0</x:v>
      </x:c>
      <x:c r="J542" s="28" t="n">
        <x:f>H542+I542</x:f>
        <x:v>-141.5</x:v>
      </x:c>
      <x:c r="K542" s="26" t="str">
        <x:v>Projection-only v1.0</x:v>
      </x:c>
      <x:c r="L542" s="26" t="n">
        <x:f>RANK.EQ(J542,$J$5:$J$619,0)</x:f>
        <x:v>569</x:v>
      </x:c>
      <x:c r="M542" s="26" t="str">
        <x:f>IF(I542=0,"PROJECTION ONLY","EDITORIAL ADJUSTMENT")</x:f>
        <x:v>PROJECTION ONLY</x:v>
      </x:c>
    </x:row>
    <x:row r="543">
      <x:c r="A543" s="26" t="str">
        <x:v>TE</x:v>
      </x:c>
      <x:c r="B543" s="26" t="n">
        <x:v>116</x:v>
      </x:c>
      <x:c r="C543" s="26" t="str">
        <x:v>Tanner Conner</x:v>
      </x:c>
      <x:c r="D543" s="26" t="str">
        <x:v>NYG</x:v>
      </x:c>
      <x:c r="E543" s="28" t="n">
        <x:v>1.8</x:v>
      </x:c>
      <x:c r="F543" s="28" t="str">
        <x:v>TE|116</x:v>
      </x:c>
      <x:c r="G543" s="28" t="n">
        <x:f>XLOOKUP(A543,'Assumptions'!$A$12:$A$15,'Assumptions'!$C$12:$C$15)</x:f>
        <x:v>143.3</x:v>
      </x:c>
      <x:c r="H543" s="28" t="n">
        <x:f>E543-G543</x:f>
        <x:v>-141.5</x:v>
      </x:c>
      <x:c r="I543" s="29" t="n">
        <x:v>0</x:v>
      </x:c>
      <x:c r="J543" s="28" t="n">
        <x:f>H543+I543</x:f>
        <x:v>-141.5</x:v>
      </x:c>
      <x:c r="K543" s="26" t="str">
        <x:v>Projection-only v1.0</x:v>
      </x:c>
      <x:c r="L543" s="26" t="n">
        <x:f>RANK.EQ(J543,$J$5:$J$619,0)</x:f>
        <x:v>569</x:v>
      </x:c>
      <x:c r="M543" s="26" t="str">
        <x:f>IF(I543=0,"PROJECTION ONLY","EDITORIAL ADJUSTMENT")</x:f>
        <x:v>PROJECTION ONLY</x:v>
      </x:c>
    </x:row>
    <x:row r="544">
      <x:c r="A544" s="26" t="str">
        <x:v>TE</x:v>
      </x:c>
      <x:c r="B544" s="26" t="n">
        <x:v>117</x:v>
      </x:c>
      <x:c r="C544" s="26" t="str">
        <x:v>Ko Kieft</x:v>
      </x:c>
      <x:c r="D544" s="26" t="str">
        <x:v>TB</x:v>
      </x:c>
      <x:c r="E544" s="28" t="n">
        <x:v>1.8</x:v>
      </x:c>
      <x:c r="F544" s="28" t="str">
        <x:v>TE|117</x:v>
      </x:c>
      <x:c r="G544" s="28" t="n">
        <x:f>XLOOKUP(A544,'Assumptions'!$A$12:$A$15,'Assumptions'!$C$12:$C$15)</x:f>
        <x:v>143.3</x:v>
      </x:c>
      <x:c r="H544" s="28" t="n">
        <x:f>E544-G544</x:f>
        <x:v>-141.5</x:v>
      </x:c>
      <x:c r="I544" s="29" t="n">
        <x:v>0</x:v>
      </x:c>
      <x:c r="J544" s="28" t="n">
        <x:f>H544+I544</x:f>
        <x:v>-141.5</x:v>
      </x:c>
      <x:c r="K544" s="26" t="str">
        <x:v>Projection-only v1.0</x:v>
      </x:c>
      <x:c r="L544" s="26" t="n">
        <x:f>RANK.EQ(J544,$J$5:$J$619,0)</x:f>
        <x:v>569</x:v>
      </x:c>
      <x:c r="M544" s="26" t="str">
        <x:f>IF(I544=0,"PROJECTION ONLY","EDITORIAL ADJUSTMENT")</x:f>
        <x:v>PROJECTION ONLY</x:v>
      </x:c>
    </x:row>
    <x:row r="545">
      <x:c r="A545" s="26" t="str">
        <x:v>TE</x:v>
      </x:c>
      <x:c r="B545" s="26" t="n">
        <x:v>118</x:v>
      </x:c>
      <x:c r="C545" s="26" t="str">
        <x:v>Thomas Fidone II</x:v>
      </x:c>
      <x:c r="D545" s="26" t="str">
        <x:v>NYG</x:v>
      </x:c>
      <x:c r="E545" s="28" t="n">
        <x:v>1.7</x:v>
      </x:c>
      <x:c r="F545" s="28" t="str">
        <x:v>TE|118</x:v>
      </x:c>
      <x:c r="G545" s="28" t="n">
        <x:f>XLOOKUP(A545,'Assumptions'!$A$12:$A$15,'Assumptions'!$C$12:$C$15)</x:f>
        <x:v>143.3</x:v>
      </x:c>
      <x:c r="H545" s="28" t="n">
        <x:f>E545-G545</x:f>
        <x:v>-141.60000000000002</x:v>
      </x:c>
      <x:c r="I545" s="29" t="n">
        <x:v>0</x:v>
      </x:c>
      <x:c r="J545" s="28" t="n">
        <x:f>H545+I545</x:f>
        <x:v>-141.60000000000002</x:v>
      </x:c>
      <x:c r="K545" s="26" t="str">
        <x:v>Projection-only v1.0</x:v>
      </x:c>
      <x:c r="L545" s="26" t="n">
        <x:f>RANK.EQ(J545,$J$5:$J$619,0)</x:f>
        <x:v>572</x:v>
      </x:c>
      <x:c r="M545" s="26" t="str">
        <x:f>IF(I545=0,"PROJECTION ONLY","EDITORIAL ADJUSTMENT")</x:f>
        <x:v>PROJECTION ONLY</x:v>
      </x:c>
    </x:row>
    <x:row r="546">
      <x:c r="A546" s="26" t="str">
        <x:v>TE</x:v>
      </x:c>
      <x:c r="B546" s="26" t="n">
        <x:v>119</x:v>
      </x:c>
      <x:c r="C546" s="26" t="str">
        <x:v>Kylen Granson</x:v>
      </x:c>
      <x:c r="D546" s="26" t="str">
        <x:v>TEN</x:v>
      </x:c>
      <x:c r="E546" s="28" t="n">
        <x:v>1.5</x:v>
      </x:c>
      <x:c r="F546" s="28" t="str">
        <x:v>TE|119</x:v>
      </x:c>
      <x:c r="G546" s="28" t="n">
        <x:f>XLOOKUP(A546,'Assumptions'!$A$12:$A$15,'Assumptions'!$C$12:$C$15)</x:f>
        <x:v>143.3</x:v>
      </x:c>
      <x:c r="H546" s="28" t="n">
        <x:f>E546-G546</x:f>
        <x:v>-141.8</x:v>
      </x:c>
      <x:c r="I546" s="29" t="n">
        <x:v>0</x:v>
      </x:c>
      <x:c r="J546" s="28" t="n">
        <x:f>H546+I546</x:f>
        <x:v>-141.8</x:v>
      </x:c>
      <x:c r="K546" s="26" t="str">
        <x:v>Projection-only v1.0</x:v>
      </x:c>
      <x:c r="L546" s="26" t="n">
        <x:f>RANK.EQ(J546,$J$5:$J$619,0)</x:f>
        <x:v>573</x:v>
      </x:c>
      <x:c r="M546" s="26" t="str">
        <x:f>IF(I546=0,"PROJECTION ONLY","EDITORIAL ADJUSTMENT")</x:f>
        <x:v>PROJECTION ONLY</x:v>
      </x:c>
    </x:row>
    <x:row r="547">
      <x:c r="A547" s="26" t="str">
        <x:v>TE</x:v>
      </x:c>
      <x:c r="B547" s="26" t="n">
        <x:v>120</x:v>
      </x:c>
      <x:c r="C547" s="26" t="str">
        <x:v>Zaire Mitchell-Paden</x:v>
      </x:c>
      <x:c r="D547" s="26" t="str">
        <x:v>NO</x:v>
      </x:c>
      <x:c r="E547" s="28" t="n">
        <x:v>1.5</x:v>
      </x:c>
      <x:c r="F547" s="28" t="str">
        <x:v>TE|120</x:v>
      </x:c>
      <x:c r="G547" s="28" t="n">
        <x:f>XLOOKUP(A547,'Assumptions'!$A$12:$A$15,'Assumptions'!$C$12:$C$15)</x:f>
        <x:v>143.3</x:v>
      </x:c>
      <x:c r="H547" s="28" t="n">
        <x:f>E547-G547</x:f>
        <x:v>-141.8</x:v>
      </x:c>
      <x:c r="I547" s="29" t="n">
        <x:v>0</x:v>
      </x:c>
      <x:c r="J547" s="28" t="n">
        <x:f>H547+I547</x:f>
        <x:v>-141.8</x:v>
      </x:c>
      <x:c r="K547" s="26" t="str">
        <x:v>Projection-only v1.0</x:v>
      </x:c>
      <x:c r="L547" s="26" t="n">
        <x:f>RANK.EQ(J547,$J$5:$J$619,0)</x:f>
        <x:v>573</x:v>
      </x:c>
      <x:c r="M547" s="26" t="str">
        <x:f>IF(I547=0,"PROJECTION ONLY","EDITORIAL ADJUSTMENT")</x:f>
        <x:v>PROJECTION ONLY</x:v>
      </x:c>
    </x:row>
    <x:row r="548">
      <x:c r="A548" s="26" t="str">
        <x:v>TE</x:v>
      </x:c>
      <x:c r="B548" s="26" t="n">
        <x:v>121</x:v>
      </x:c>
      <x:c r="C548" s="26" t="str">
        <x:v>Brevin Jordan</x:v>
      </x:c>
      <x:c r="D548" s="26" t="str">
        <x:v>HOU</x:v>
      </x:c>
      <x:c r="E548" s="28" t="n">
        <x:v>1.3</x:v>
      </x:c>
      <x:c r="F548" s="28" t="str">
        <x:v>TE|121</x:v>
      </x:c>
      <x:c r="G548" s="28" t="n">
        <x:f>XLOOKUP(A548,'Assumptions'!$A$12:$A$15,'Assumptions'!$C$12:$C$15)</x:f>
        <x:v>143.3</x:v>
      </x:c>
      <x:c r="H548" s="28" t="n">
        <x:f>E548-G548</x:f>
        <x:v>-142</x:v>
      </x:c>
      <x:c r="I548" s="29" t="n">
        <x:v>0</x:v>
      </x:c>
      <x:c r="J548" s="28" t="n">
        <x:f>H548+I548</x:f>
        <x:v>-142</x:v>
      </x:c>
      <x:c r="K548" s="26" t="str">
        <x:v>Projection-only v1.0</x:v>
      </x:c>
      <x:c r="L548" s="26" t="n">
        <x:f>RANK.EQ(J548,$J$5:$J$619,0)</x:f>
        <x:v>575</x:v>
      </x:c>
      <x:c r="M548" s="26" t="str">
        <x:f>IF(I548=0,"PROJECTION ONLY","EDITORIAL ADJUSTMENT")</x:f>
        <x:v>PROJECTION ONLY</x:v>
      </x:c>
    </x:row>
    <x:row r="549">
      <x:c r="A549" s="26" t="str">
        <x:v>TE</x:v>
      </x:c>
      <x:c r="B549" s="26" t="n">
        <x:v>122</x:v>
      </x:c>
      <x:c r="C549" s="26" t="str">
        <x:v>Drew Ogletree</x:v>
      </x:c>
      <x:c r="D549" s="26" t="str">
        <x:v>IND</x:v>
      </x:c>
      <x:c r="E549" s="28" t="n">
        <x:v>1.2</x:v>
      </x:c>
      <x:c r="F549" s="28" t="str">
        <x:v>TE|122</x:v>
      </x:c>
      <x:c r="G549" s="28" t="n">
        <x:f>XLOOKUP(A549,'Assumptions'!$A$12:$A$15,'Assumptions'!$C$12:$C$15)</x:f>
        <x:v>143.3</x:v>
      </x:c>
      <x:c r="H549" s="28" t="n">
        <x:f>E549-G549</x:f>
        <x:v>-142.10000000000002</x:v>
      </x:c>
      <x:c r="I549" s="29" t="n">
        <x:v>0</x:v>
      </x:c>
      <x:c r="J549" s="28" t="n">
        <x:f>H549+I549</x:f>
        <x:v>-142.10000000000002</x:v>
      </x:c>
      <x:c r="K549" s="26" t="str">
        <x:v>Projection-only v1.0</x:v>
      </x:c>
      <x:c r="L549" s="26" t="n">
        <x:f>RANK.EQ(J549,$J$5:$J$619,0)</x:f>
        <x:v>576</x:v>
      </x:c>
      <x:c r="M549" s="26" t="str">
        <x:f>IF(I549=0,"PROJECTION ONLY","EDITORIAL ADJUSTMENT")</x:f>
        <x:v>PROJECTION ONLY</x:v>
      </x:c>
    </x:row>
    <x:row r="550">
      <x:c r="A550" s="26" t="str">
        <x:v>TE</x:v>
      </x:c>
      <x:c r="B550" s="26" t="n">
        <x:v>123</x:v>
      </x:c>
      <x:c r="C550" s="26" t="str">
        <x:v>Jaheim Bell</x:v>
      </x:c>
      <x:c r="D550" s="26" t="str">
        <x:v>PIT</x:v>
      </x:c>
      <x:c r="E550" s="28" t="n">
        <x:v>1.2</x:v>
      </x:c>
      <x:c r="F550" s="28" t="str">
        <x:v>TE|123</x:v>
      </x:c>
      <x:c r="G550" s="28" t="n">
        <x:f>XLOOKUP(A550,'Assumptions'!$A$12:$A$15,'Assumptions'!$C$12:$C$15)</x:f>
        <x:v>143.3</x:v>
      </x:c>
      <x:c r="H550" s="28" t="n">
        <x:f>E550-G550</x:f>
        <x:v>-142.10000000000002</x:v>
      </x:c>
      <x:c r="I550" s="29" t="n">
        <x:v>0</x:v>
      </x:c>
      <x:c r="J550" s="28" t="n">
        <x:f>H550+I550</x:f>
        <x:v>-142.10000000000002</x:v>
      </x:c>
      <x:c r="K550" s="26" t="str">
        <x:v>Projection-only v1.0</x:v>
      </x:c>
      <x:c r="L550" s="26" t="n">
        <x:f>RANK.EQ(J550,$J$5:$J$619,0)</x:f>
        <x:v>576</x:v>
      </x:c>
      <x:c r="M550" s="26" t="str">
        <x:f>IF(I550=0,"PROJECTION ONLY","EDITORIAL ADJUSTMENT")</x:f>
        <x:v>PROJECTION ONLY</x:v>
      </x:c>
    </x:row>
    <x:row r="551">
      <x:c r="A551" s="26" t="str">
        <x:v>TE</x:v>
      </x:c>
      <x:c r="B551" s="26" t="n">
        <x:v>124</x:v>
      </x:c>
      <x:c r="C551" s="26" t="str">
        <x:v>Feleipe Franks</x:v>
      </x:c>
      <x:c r="D551" s="26" t="str">
        <x:v>CAR</x:v>
      </x:c>
      <x:c r="E551" s="28" t="n">
        <x:v>1</x:v>
      </x:c>
      <x:c r="F551" s="28" t="str">
        <x:v>TE|124</x:v>
      </x:c>
      <x:c r="G551" s="28" t="n">
        <x:f>XLOOKUP(A551,'Assumptions'!$A$12:$A$15,'Assumptions'!$C$12:$C$15)</x:f>
        <x:v>143.3</x:v>
      </x:c>
      <x:c r="H551" s="28" t="n">
        <x:f>E551-G551</x:f>
        <x:v>-142.3</x:v>
      </x:c>
      <x:c r="I551" s="29" t="n">
        <x:v>0</x:v>
      </x:c>
      <x:c r="J551" s="28" t="n">
        <x:f>H551+I551</x:f>
        <x:v>-142.3</x:v>
      </x:c>
      <x:c r="K551" s="26" t="str">
        <x:v>Projection-only v1.0</x:v>
      </x:c>
      <x:c r="L551" s="26" t="n">
        <x:f>RANK.EQ(J551,$J$5:$J$619,0)</x:f>
        <x:v>578</x:v>
      </x:c>
      <x:c r="M551" s="26" t="str">
        <x:f>IF(I551=0,"PROJECTION ONLY","EDITORIAL ADJUSTMENT")</x:f>
        <x:v>PROJECTION ONLY</x:v>
      </x:c>
    </x:row>
    <x:row r="552">
      <x:c r="A552" s="26" t="str">
        <x:v>TE</x:v>
      </x:c>
      <x:c r="B552" s="26" t="n">
        <x:v>125</x:v>
      </x:c>
      <x:c r="C552" s="26" t="str">
        <x:v>Johnny Mundt</x:v>
      </x:c>
      <x:c r="D552" s="26" t="str">
        <x:v>PHI</x:v>
      </x:c>
      <x:c r="E552" s="28" t="n">
        <x:v>0.8</x:v>
      </x:c>
      <x:c r="F552" s="28" t="str">
        <x:v>TE|125</x:v>
      </x:c>
      <x:c r="G552" s="28" t="n">
        <x:f>XLOOKUP(A552,'Assumptions'!$A$12:$A$15,'Assumptions'!$C$12:$C$15)</x:f>
        <x:v>143.3</x:v>
      </x:c>
      <x:c r="H552" s="28" t="n">
        <x:f>E552-G552</x:f>
        <x:v>-142.5</x:v>
      </x:c>
      <x:c r="I552" s="29" t="n">
        <x:v>0</x:v>
      </x:c>
      <x:c r="J552" s="28" t="n">
        <x:f>H552+I552</x:f>
        <x:v>-142.5</x:v>
      </x:c>
      <x:c r="K552" s="26" t="str">
        <x:v>Projection-only v1.0</x:v>
      </x:c>
      <x:c r="L552" s="26" t="n">
        <x:f>RANK.EQ(J552,$J$5:$J$619,0)</x:f>
        <x:v>579</x:v>
      </x:c>
      <x:c r="M552" s="26" t="str">
        <x:f>IF(I552=0,"PROJECTION ONLY","EDITORIAL ADJUSTMENT")</x:f>
        <x:v>PROJECTION ONLY</x:v>
      </x:c>
    </x:row>
    <x:row r="553">
      <x:c r="A553" s="26" t="str">
        <x:v>TE</x:v>
      </x:c>
      <x:c r="B553" s="26" t="n">
        <x:v>126</x:v>
      </x:c>
      <x:c r="C553" s="26" t="str">
        <x:v>Stone Smartt</x:v>
      </x:c>
      <x:c r="D553" s="26" t="str">
        <x:v>PHI</x:v>
      </x:c>
      <x:c r="E553" s="28" t="n">
        <x:v>0.6</x:v>
      </x:c>
      <x:c r="F553" s="28" t="str">
        <x:v>TE|126</x:v>
      </x:c>
      <x:c r="G553" s="28" t="n">
        <x:f>XLOOKUP(A553,'Assumptions'!$A$12:$A$15,'Assumptions'!$C$12:$C$15)</x:f>
        <x:v>143.3</x:v>
      </x:c>
      <x:c r="H553" s="28" t="n">
        <x:f>E553-G553</x:f>
        <x:v>-142.70000000000002</x:v>
      </x:c>
      <x:c r="I553" s="29" t="n">
        <x:v>0</x:v>
      </x:c>
      <x:c r="J553" s="28" t="n">
        <x:f>H553+I553</x:f>
        <x:v>-142.70000000000002</x:v>
      </x:c>
      <x:c r="K553" s="26" t="str">
        <x:v>Projection-only v1.0</x:v>
      </x:c>
      <x:c r="L553" s="26" t="n">
        <x:f>RANK.EQ(J553,$J$5:$J$619,0)</x:f>
        <x:v>580</x:v>
      </x:c>
      <x:c r="M553" s="26" t="str">
        <x:f>IF(I553=0,"PROJECTION ONLY","EDITORIAL ADJUSTMENT")</x:f>
        <x:v>PROJECTION ONLY</x:v>
      </x:c>
    </x:row>
    <x:row r="554">
      <x:c r="A554" s="26" t="str">
        <x:v>TE</x:v>
      </x:c>
      <x:c r="B554" s="26" t="n">
        <x:v>127</x:v>
      </x:c>
      <x:c r="C554" s="26" t="str">
        <x:v>Moliki Matavao</x:v>
      </x:c>
      <x:c r="D554" s="26" t="str">
        <x:v>NO</x:v>
      </x:c>
      <x:c r="E554" s="28" t="n">
        <x:v>0.5</x:v>
      </x:c>
      <x:c r="F554" s="28" t="str">
        <x:v>TE|127</x:v>
      </x:c>
      <x:c r="G554" s="28" t="n">
        <x:f>XLOOKUP(A554,'Assumptions'!$A$12:$A$15,'Assumptions'!$C$12:$C$15)</x:f>
        <x:v>143.3</x:v>
      </x:c>
      <x:c r="H554" s="28" t="n">
        <x:f>E554-G554</x:f>
        <x:v>-142.8</x:v>
      </x:c>
      <x:c r="I554" s="29" t="n">
        <x:v>0</x:v>
      </x:c>
      <x:c r="J554" s="28" t="n">
        <x:f>H554+I554</x:f>
        <x:v>-142.8</x:v>
      </x:c>
      <x:c r="K554" s="26" t="str">
        <x:v>Projection-only v1.0</x:v>
      </x:c>
      <x:c r="L554" s="26" t="n">
        <x:f>RANK.EQ(J554,$J$5:$J$619,0)</x:f>
        <x:v>581</x:v>
      </x:c>
      <x:c r="M554" s="26" t="str">
        <x:f>IF(I554=0,"PROJECTION ONLY","EDITORIAL ADJUSTMENT")</x:f>
        <x:v>PROJECTION ONLY</x:v>
      </x:c>
    </x:row>
    <x:row r="555">
      <x:c r="A555" s="26" t="str">
        <x:v>TE</x:v>
      </x:c>
      <x:c r="B555" s="26" t="n">
        <x:v>128</x:v>
      </x:c>
      <x:c r="C555" s="26" t="str">
        <x:v>Drake Dabney</x:v>
      </x:c>
      <x:c r="D555" s="26" t="str">
        <x:v>GB</x:v>
      </x:c>
      <x:c r="E555" s="28" t="n">
        <x:v>0.5</x:v>
      </x:c>
      <x:c r="F555" s="28" t="str">
        <x:v>TE|128</x:v>
      </x:c>
      <x:c r="G555" s="28" t="n">
        <x:f>XLOOKUP(A555,'Assumptions'!$A$12:$A$15,'Assumptions'!$C$12:$C$15)</x:f>
        <x:v>143.3</x:v>
      </x:c>
      <x:c r="H555" s="28" t="n">
        <x:f>E555-G555</x:f>
        <x:v>-142.8</x:v>
      </x:c>
      <x:c r="I555" s="29" t="n">
        <x:v>0</x:v>
      </x:c>
      <x:c r="J555" s="28" t="n">
        <x:f>H555+I555</x:f>
        <x:v>-142.8</x:v>
      </x:c>
      <x:c r="K555" s="26" t="str">
        <x:v>Projection-only v1.0</x:v>
      </x:c>
      <x:c r="L555" s="26" t="n">
        <x:f>RANK.EQ(J555,$J$5:$J$619,0)</x:f>
        <x:v>581</x:v>
      </x:c>
      <x:c r="M555" s="26" t="str">
        <x:f>IF(I555=0,"PROJECTION ONLY","EDITORIAL ADJUSTMENT")</x:f>
        <x:v>PROJECTION ONLY</x:v>
      </x:c>
    </x:row>
    <x:row r="556">
      <x:c r="A556" s="26" t="str">
        <x:v>TE</x:v>
      </x:c>
      <x:c r="B556" s="26" t="n">
        <x:v>129</x:v>
      </x:c>
      <x:c r="C556" s="26" t="str">
        <x:v>Josh Whyle</x:v>
      </x:c>
      <x:c r="D556" s="26" t="str">
        <x:v>GB</x:v>
      </x:c>
      <x:c r="E556" s="28" t="n">
        <x:v>0.5</x:v>
      </x:c>
      <x:c r="F556" s="28" t="str">
        <x:v>TE|129</x:v>
      </x:c>
      <x:c r="G556" s="28" t="n">
        <x:f>XLOOKUP(A556,'Assumptions'!$A$12:$A$15,'Assumptions'!$C$12:$C$15)</x:f>
        <x:v>143.3</x:v>
      </x:c>
      <x:c r="H556" s="28" t="n">
        <x:f>E556-G556</x:f>
        <x:v>-142.8</x:v>
      </x:c>
      <x:c r="I556" s="29" t="n">
        <x:v>0</x:v>
      </x:c>
      <x:c r="J556" s="28" t="n">
        <x:f>H556+I556</x:f>
        <x:v>-142.8</x:v>
      </x:c>
      <x:c r="K556" s="26" t="str">
        <x:v>Projection-only v1.0</x:v>
      </x:c>
      <x:c r="L556" s="26" t="n">
        <x:f>RANK.EQ(J556,$J$5:$J$619,0)</x:f>
        <x:v>581</x:v>
      </x:c>
      <x:c r="M556" s="26" t="str">
        <x:f>IF(I556=0,"PROJECTION ONLY","EDITORIAL ADJUSTMENT")</x:f>
        <x:v>PROJECTION ONLY</x:v>
      </x:c>
    </x:row>
    <x:row r="557">
      <x:c r="A557" s="26" t="str">
        <x:v>TE</x:v>
      </x:c>
      <x:c r="B557" s="26" t="n">
        <x:v>130</x:v>
      </x:c>
      <x:c r="C557" s="26" t="str">
        <x:v>Cameron Latu</x:v>
      </x:c>
      <x:c r="D557" s="26" t="str">
        <x:v>PHI</x:v>
      </x:c>
      <x:c r="E557" s="28" t="n">
        <x:v>0.4</x:v>
      </x:c>
      <x:c r="F557" s="28" t="str">
        <x:v>TE|130</x:v>
      </x:c>
      <x:c r="G557" s="28" t="n">
        <x:f>XLOOKUP(A557,'Assumptions'!$A$12:$A$15,'Assumptions'!$C$12:$C$15)</x:f>
        <x:v>143.3</x:v>
      </x:c>
      <x:c r="H557" s="28" t="n">
        <x:f>E557-G557</x:f>
        <x:v>-142.9</x:v>
      </x:c>
      <x:c r="I557" s="29" t="n">
        <x:v>0</x:v>
      </x:c>
      <x:c r="J557" s="28" t="n">
        <x:f>H557+I557</x:f>
        <x:v>-142.9</x:v>
      </x:c>
      <x:c r="K557" s="26" t="str">
        <x:v>Projection-only v1.0</x:v>
      </x:c>
      <x:c r="L557" s="26" t="n">
        <x:f>RANK.EQ(J557,$J$5:$J$619,0)</x:f>
        <x:v>584</x:v>
      </x:c>
      <x:c r="M557" s="26" t="str">
        <x:f>IF(I557=0,"PROJECTION ONLY","EDITORIAL ADJUSTMENT")</x:f>
        <x:v>PROJECTION ONLY</x:v>
      </x:c>
    </x:row>
    <x:row r="558">
      <x:c r="A558" s="26" t="str">
        <x:v>TE</x:v>
      </x:c>
      <x:c r="B558" s="26" t="n">
        <x:v>131</x:v>
      </x:c>
      <x:c r="C558" s="26" t="str">
        <x:v>Shane Zylstra</x:v>
      </x:c>
      <x:c r="D558" s="26" t="str">
        <x:v>BUF</x:v>
      </x:c>
      <x:c r="E558" s="28" t="n">
        <x:v>0.4</x:v>
      </x:c>
      <x:c r="F558" s="28" t="str">
        <x:v>TE|131</x:v>
      </x:c>
      <x:c r="G558" s="28" t="n">
        <x:f>XLOOKUP(A558,'Assumptions'!$A$12:$A$15,'Assumptions'!$C$12:$C$15)</x:f>
        <x:v>143.3</x:v>
      </x:c>
      <x:c r="H558" s="28" t="n">
        <x:f>E558-G558</x:f>
        <x:v>-142.9</x:v>
      </x:c>
      <x:c r="I558" s="29" t="n">
        <x:v>0</x:v>
      </x:c>
      <x:c r="J558" s="28" t="n">
        <x:f>H558+I558</x:f>
        <x:v>-142.9</x:v>
      </x:c>
      <x:c r="K558" s="26" t="str">
        <x:v>Projection-only v1.0</x:v>
      </x:c>
      <x:c r="L558" s="26" t="n">
        <x:f>RANK.EQ(J558,$J$5:$J$619,0)</x:f>
        <x:v>584</x:v>
      </x:c>
      <x:c r="M558" s="26" t="str">
        <x:f>IF(I558=0,"PROJECTION ONLY","EDITORIAL ADJUSTMENT")</x:f>
        <x:v>PROJECTION ONLY</x:v>
      </x:c>
    </x:row>
    <x:row r="559">
      <x:c r="A559" s="26" t="str">
        <x:v>TE</x:v>
      </x:c>
      <x:c r="B559" s="26" t="n">
        <x:v>132</x:v>
      </x:c>
      <x:c r="C559" s="26" t="str">
        <x:v>Chris Manhertz</x:v>
      </x:c>
      <x:c r="D559" s="26" t="str">
        <x:v>NYG</x:v>
      </x:c>
      <x:c r="E559" s="28" t="n">
        <x:v>0.3</x:v>
      </x:c>
      <x:c r="F559" s="28" t="str">
        <x:v>TE|132</x:v>
      </x:c>
      <x:c r="G559" s="28" t="n">
        <x:f>XLOOKUP(A559,'Assumptions'!$A$12:$A$15,'Assumptions'!$C$12:$C$15)</x:f>
        <x:v>143.3</x:v>
      </x:c>
      <x:c r="H559" s="28" t="n">
        <x:f>E559-G559</x:f>
        <x:v>-143</x:v>
      </x:c>
      <x:c r="I559" s="29" t="n">
        <x:v>0</x:v>
      </x:c>
      <x:c r="J559" s="28" t="n">
        <x:f>H559+I559</x:f>
        <x:v>-143</x:v>
      </x:c>
      <x:c r="K559" s="26" t="str">
        <x:v>Projection-only v1.0</x:v>
      </x:c>
      <x:c r="L559" s="26" t="n">
        <x:f>RANK.EQ(J559,$J$5:$J$619,0)</x:f>
        <x:v>586</x:v>
      </x:c>
      <x:c r="M559" s="26" t="str">
        <x:f>IF(I559=0,"PROJECTION ONLY","EDITORIAL ADJUSTMENT")</x:f>
        <x:v>PROJECTION ONLY</x:v>
      </x:c>
    </x:row>
    <x:row r="560">
      <x:c r="A560" s="26" t="str">
        <x:v>TE</x:v>
      </x:c>
      <x:c r="B560" s="26" t="n">
        <x:v>133</x:v>
      </x:c>
      <x:c r="C560" s="26" t="str">
        <x:v>Robert Tonyan</x:v>
      </x:c>
      <x:c r="D560" s="26" t="str">
        <x:v>PIT</x:v>
      </x:c>
      <x:c r="E560" s="28" t="n">
        <x:v>0.1</x:v>
      </x:c>
      <x:c r="F560" s="28" t="str">
        <x:v>TE|133</x:v>
      </x:c>
      <x:c r="G560" s="28" t="n">
        <x:f>XLOOKUP(A560,'Assumptions'!$A$12:$A$15,'Assumptions'!$C$12:$C$15)</x:f>
        <x:v>143.3</x:v>
      </x:c>
      <x:c r="H560" s="28" t="n">
        <x:f>E560-G560</x:f>
        <x:v>-143.20000000000002</x:v>
      </x:c>
      <x:c r="I560" s="29" t="n">
        <x:v>0</x:v>
      </x:c>
      <x:c r="J560" s="28" t="n">
        <x:f>H560+I560</x:f>
        <x:v>-143.20000000000002</x:v>
      </x:c>
      <x:c r="K560" s="26" t="str">
        <x:v>Projection-only v1.0</x:v>
      </x:c>
      <x:c r="L560" s="26" t="n">
        <x:f>RANK.EQ(J560,$J$5:$J$619,0)</x:f>
        <x:v>587</x:v>
      </x:c>
      <x:c r="M560" s="26" t="str">
        <x:f>IF(I560=0,"PROJECTION ONLY","EDITORIAL ADJUSTMENT")</x:f>
        <x:v>PROJECTION ONLY</x:v>
      </x:c>
    </x:row>
    <x:row r="561">
      <x:c r="A561" s="26" t="str">
        <x:v>TE</x:v>
      </x:c>
      <x:c r="B561" s="26" t="n">
        <x:v>134</x:v>
      </x:c>
      <x:c r="C561" s="26" t="str">
        <x:v>Julian Hill</x:v>
      </x:c>
      <x:c r="D561" s="26" t="str">
        <x:v>NE</x:v>
      </x:c>
      <x:c r="E561" s="28" t="n">
        <x:v>0</x:v>
      </x:c>
      <x:c r="F561" s="28" t="str">
        <x:v>TE|134</x:v>
      </x:c>
      <x:c r="G561" s="28" t="n">
        <x:f>XLOOKUP(A561,'Assumptions'!$A$12:$A$15,'Assumptions'!$C$12:$C$15)</x:f>
        <x:v>143.3</x:v>
      </x:c>
      <x:c r="H561" s="28" t="n">
        <x:f>E561-G561</x:f>
        <x:v>-143.3</x:v>
      </x:c>
      <x:c r="I561" s="29" t="n">
        <x:v>0</x:v>
      </x:c>
      <x:c r="J561" s="28" t="n">
        <x:f>H561+I561</x:f>
        <x:v>-143.3</x:v>
      </x:c>
      <x:c r="K561" s="26" t="str">
        <x:v>Projection-only v1.0</x:v>
      </x:c>
      <x:c r="L561" s="26" t="n">
        <x:f>RANK.EQ(J561,$J$5:$J$619,0)</x:f>
        <x:v>588</x:v>
      </x:c>
      <x:c r="M561" s="26" t="str">
        <x:f>IF(I561=0,"PROJECTION ONLY","EDITORIAL ADJUSTMENT")</x:f>
        <x:v>PROJECTION ONLY</x:v>
      </x:c>
    </x:row>
    <x:row r="562">
      <x:c r="A562" s="26" t="str">
        <x:v>TE</x:v>
      </x:c>
      <x:c r="B562" s="26" t="n">
        <x:v>135</x:v>
      </x:c>
      <x:c r="C562" s="26" t="str">
        <x:v>Jack Westover</x:v>
      </x:c>
      <x:c r="D562" s="26" t="str">
        <x:v>NE</x:v>
      </x:c>
      <x:c r="E562" s="28" t="n">
        <x:v>0</x:v>
      </x:c>
      <x:c r="F562" s="28" t="str">
        <x:v>TE|135</x:v>
      </x:c>
      <x:c r="G562" s="28" t="n">
        <x:f>XLOOKUP(A562,'Assumptions'!$A$12:$A$15,'Assumptions'!$C$12:$C$15)</x:f>
        <x:v>143.3</x:v>
      </x:c>
      <x:c r="H562" s="28" t="n">
        <x:f>E562-G562</x:f>
        <x:v>-143.3</x:v>
      </x:c>
      <x:c r="I562" s="29" t="n">
        <x:v>0</x:v>
      </x:c>
      <x:c r="J562" s="28" t="n">
        <x:f>H562+I562</x:f>
        <x:v>-143.3</x:v>
      </x:c>
      <x:c r="K562" s="26" t="str">
        <x:v>Projection-only v1.0</x:v>
      </x:c>
      <x:c r="L562" s="26" t="n">
        <x:f>RANK.EQ(J562,$J$5:$J$619,0)</x:f>
        <x:v>588</x:v>
      </x:c>
      <x:c r="M562" s="26" t="str">
        <x:f>IF(I562=0,"PROJECTION ONLY","EDITORIAL ADJUSTMENT")</x:f>
        <x:v>PROJECTION ONLY</x:v>
      </x:c>
    </x:row>
    <x:row r="563">
      <x:c r="A563" s="26" t="str">
        <x:v>TE</x:v>
      </x:c>
      <x:c r="B563" s="26" t="n">
        <x:v>136</x:v>
      </x:c>
      <x:c r="C563" s="26" t="str">
        <x:v>Colson Yankoff</x:v>
      </x:c>
      <x:c r="D563" s="26" t="str">
        <x:v>WAS</x:v>
      </x:c>
      <x:c r="E563" s="28" t="n">
        <x:v>0</x:v>
      </x:c>
      <x:c r="F563" s="28" t="str">
        <x:v>TE|136</x:v>
      </x:c>
      <x:c r="G563" s="28" t="n">
        <x:f>XLOOKUP(A563,'Assumptions'!$A$12:$A$15,'Assumptions'!$C$12:$C$15)</x:f>
        <x:v>143.3</x:v>
      </x:c>
      <x:c r="H563" s="28" t="n">
        <x:f>E563-G563</x:f>
        <x:v>-143.3</x:v>
      </x:c>
      <x:c r="I563" s="29" t="n">
        <x:v>0</x:v>
      </x:c>
      <x:c r="J563" s="28" t="n">
        <x:f>H563+I563</x:f>
        <x:v>-143.3</x:v>
      </x:c>
      <x:c r="K563" s="26" t="str">
        <x:v>Projection-only v1.0</x:v>
      </x:c>
      <x:c r="L563" s="26" t="n">
        <x:f>RANK.EQ(J563,$J$5:$J$619,0)</x:f>
        <x:v>588</x:v>
      </x:c>
      <x:c r="M563" s="26" t="str">
        <x:f>IF(I563=0,"PROJECTION ONLY","EDITORIAL ADJUSTMENT")</x:f>
        <x:v>PROJECTION ONLY</x:v>
      </x:c>
    </x:row>
    <x:row r="564">
      <x:c r="A564" s="26" t="str">
        <x:v>TE</x:v>
      </x:c>
      <x:c r="B564" s="26" t="n">
        <x:v>137</x:v>
      </x:c>
      <x:c r="C564" s="26" t="str">
        <x:v>Lawrence Cager</x:v>
      </x:c>
      <x:c r="D564" s="26" t="str">
        <x:v>WAS</x:v>
      </x:c>
      <x:c r="E564" s="28" t="n">
        <x:v>0</x:v>
      </x:c>
      <x:c r="F564" s="28" t="str">
        <x:v>TE|137</x:v>
      </x:c>
      <x:c r="G564" s="28" t="n">
        <x:f>XLOOKUP(A564,'Assumptions'!$A$12:$A$15,'Assumptions'!$C$12:$C$15)</x:f>
        <x:v>143.3</x:v>
      </x:c>
      <x:c r="H564" s="28" t="n">
        <x:f>E564-G564</x:f>
        <x:v>-143.3</x:v>
      </x:c>
      <x:c r="I564" s="29" t="n">
        <x:v>0</x:v>
      </x:c>
      <x:c r="J564" s="28" t="n">
        <x:f>H564+I564</x:f>
        <x:v>-143.3</x:v>
      </x:c>
      <x:c r="K564" s="26" t="str">
        <x:v>Projection-only v1.0</x:v>
      </x:c>
      <x:c r="L564" s="26" t="n">
        <x:f>RANK.EQ(J564,$J$5:$J$619,0)</x:f>
        <x:v>588</x:v>
      </x:c>
      <x:c r="M564" s="26" t="str">
        <x:f>IF(I564=0,"PROJECTION ONLY","EDITORIAL ADJUSTMENT")</x:f>
        <x:v>PROJECTION ONLY</x:v>
      </x:c>
    </x:row>
    <x:row r="565">
      <x:c r="A565" s="26" t="str">
        <x:v>TE</x:v>
      </x:c>
      <x:c r="B565" s="26" t="n">
        <x:v>138</x:v>
      </x:c>
      <x:c r="C565" s="26" t="str">
        <x:v>Nikola Kalinic</x:v>
      </x:c>
      <x:c r="D565" s="26" t="str">
        <x:v>CHI</x:v>
      </x:c>
      <x:c r="E565" s="28" t="n">
        <x:v>0</x:v>
      </x:c>
      <x:c r="F565" s="28" t="str">
        <x:v>TE|138</x:v>
      </x:c>
      <x:c r="G565" s="28" t="n">
        <x:f>XLOOKUP(A565,'Assumptions'!$A$12:$A$15,'Assumptions'!$C$12:$C$15)</x:f>
        <x:v>143.3</x:v>
      </x:c>
      <x:c r="H565" s="28" t="n">
        <x:f>E565-G565</x:f>
        <x:v>-143.3</x:v>
      </x:c>
      <x:c r="I565" s="29" t="n">
        <x:v>0</x:v>
      </x:c>
      <x:c r="J565" s="28" t="n">
        <x:f>H565+I565</x:f>
        <x:v>-143.3</x:v>
      </x:c>
      <x:c r="K565" s="26" t="str">
        <x:v>Projection-only v1.0</x:v>
      </x:c>
      <x:c r="L565" s="26" t="n">
        <x:f>RANK.EQ(J565,$J$5:$J$619,0)</x:f>
        <x:v>588</x:v>
      </x:c>
      <x:c r="M565" s="26" t="str">
        <x:f>IF(I565=0,"PROJECTION ONLY","EDITORIAL ADJUSTMENT")</x:f>
        <x:v>PROJECTION ONLY</x:v>
      </x:c>
    </x:row>
    <x:row r="566">
      <x:c r="A566" s="26" t="str">
        <x:v>TE</x:v>
      </x:c>
      <x:c r="B566" s="26" t="n">
        <x:v>139</x:v>
      </x:c>
      <x:c r="C566" s="26" t="str">
        <x:v>E.J. Jenkins</x:v>
      </x:c>
      <x:c r="D566" s="26" t="str">
        <x:v>PHI</x:v>
      </x:c>
      <x:c r="E566" s="28" t="n">
        <x:v>0</x:v>
      </x:c>
      <x:c r="F566" s="28" t="str">
        <x:v>TE|139</x:v>
      </x:c>
      <x:c r="G566" s="28" t="n">
        <x:f>XLOOKUP(A566,'Assumptions'!$A$12:$A$15,'Assumptions'!$C$12:$C$15)</x:f>
        <x:v>143.3</x:v>
      </x:c>
      <x:c r="H566" s="28" t="n">
        <x:f>E566-G566</x:f>
        <x:v>-143.3</x:v>
      </x:c>
      <x:c r="I566" s="29" t="n">
        <x:v>0</x:v>
      </x:c>
      <x:c r="J566" s="28" t="n">
        <x:f>H566+I566</x:f>
        <x:v>-143.3</x:v>
      </x:c>
      <x:c r="K566" s="26" t="str">
        <x:v>Projection-only v1.0</x:v>
      </x:c>
      <x:c r="L566" s="26" t="n">
        <x:f>RANK.EQ(J566,$J$5:$J$619,0)</x:f>
        <x:v>588</x:v>
      </x:c>
      <x:c r="M566" s="26" t="str">
        <x:f>IF(I566=0,"PROJECTION ONLY","EDITORIAL ADJUSTMENT")</x:f>
        <x:v>PROJECTION ONLY</x:v>
      </x:c>
    </x:row>
    <x:row r="567">
      <x:c r="A567" s="26" t="str">
        <x:v>TE</x:v>
      </x:c>
      <x:c r="B567" s="26" t="n">
        <x:v>140</x:v>
      </x:c>
      <x:c r="C567" s="26" t="str">
        <x:v>Quintin Morris</x:v>
      </x:c>
      <x:c r="D567" s="26" t="str">
        <x:v>JAX</x:v>
      </x:c>
      <x:c r="E567" s="28" t="n">
        <x:v>0</x:v>
      </x:c>
      <x:c r="F567" s="28" t="str">
        <x:v>TE|140</x:v>
      </x:c>
      <x:c r="G567" s="28" t="n">
        <x:f>XLOOKUP(A567,'Assumptions'!$A$12:$A$15,'Assumptions'!$C$12:$C$15)</x:f>
        <x:v>143.3</x:v>
      </x:c>
      <x:c r="H567" s="28" t="n">
        <x:f>E567-G567</x:f>
        <x:v>-143.3</x:v>
      </x:c>
      <x:c r="I567" s="29" t="n">
        <x:v>0</x:v>
      </x:c>
      <x:c r="J567" s="28" t="n">
        <x:f>H567+I567</x:f>
        <x:v>-143.3</x:v>
      </x:c>
      <x:c r="K567" s="26" t="str">
        <x:v>Projection-only v1.0</x:v>
      </x:c>
      <x:c r="L567" s="26" t="n">
        <x:f>RANK.EQ(J567,$J$5:$J$619,0)</x:f>
        <x:v>588</x:v>
      </x:c>
      <x:c r="M567" s="26" t="str">
        <x:f>IF(I567=0,"PROJECTION ONLY","EDITORIAL ADJUSTMENT")</x:f>
        <x:v>PROJECTION ONLY</x:v>
      </x:c>
    </x:row>
    <x:row r="568">
      <x:c r="A568" s="26" t="str">
        <x:v>TE</x:v>
      </x:c>
      <x:c r="B568" s="26" t="n">
        <x:v>141</x:v>
      </x:c>
      <x:c r="C568" s="26" t="str">
        <x:v>Brayden Willis</x:v>
      </x:c>
      <x:c r="D568" s="26" t="str">
        <x:v>SF</x:v>
      </x:c>
      <x:c r="E568" s="28" t="n">
        <x:v>0</x:v>
      </x:c>
      <x:c r="F568" s="28" t="str">
        <x:v>TE|141</x:v>
      </x:c>
      <x:c r="G568" s="28" t="n">
        <x:f>XLOOKUP(A568,'Assumptions'!$A$12:$A$15,'Assumptions'!$C$12:$C$15)</x:f>
        <x:v>143.3</x:v>
      </x:c>
      <x:c r="H568" s="28" t="n">
        <x:f>E568-G568</x:f>
        <x:v>-143.3</x:v>
      </x:c>
      <x:c r="I568" s="29" t="n">
        <x:v>0</x:v>
      </x:c>
      <x:c r="J568" s="28" t="n">
        <x:f>H568+I568</x:f>
        <x:v>-143.3</x:v>
      </x:c>
      <x:c r="K568" s="26" t="str">
        <x:v>Projection-only v1.0</x:v>
      </x:c>
      <x:c r="L568" s="26" t="n">
        <x:f>RANK.EQ(J568,$J$5:$J$619,0)</x:f>
        <x:v>588</x:v>
      </x:c>
      <x:c r="M568" s="26" t="str">
        <x:f>IF(I568=0,"PROJECTION ONLY","EDITORIAL ADJUSTMENT")</x:f>
        <x:v>PROJECTION ONLY</x:v>
      </x:c>
    </x:row>
    <x:row r="569">
      <x:c r="A569" s="26" t="str">
        <x:v>TE</x:v>
      </x:c>
      <x:c r="B569" s="26" t="n">
        <x:v>142</x:v>
      </x:c>
      <x:c r="C569" s="26" t="str">
        <x:v>Tanner McLachlan</x:v>
      </x:c>
      <x:c r="D569" s="26" t="str">
        <x:v>SF</x:v>
      </x:c>
      <x:c r="E569" s="28" t="n">
        <x:v>0</x:v>
      </x:c>
      <x:c r="F569" s="28" t="str">
        <x:v>TE|142</x:v>
      </x:c>
      <x:c r="G569" s="28" t="n">
        <x:f>XLOOKUP(A569,'Assumptions'!$A$12:$A$15,'Assumptions'!$C$12:$C$15)</x:f>
        <x:v>143.3</x:v>
      </x:c>
      <x:c r="H569" s="28" t="n">
        <x:f>E569-G569</x:f>
        <x:v>-143.3</x:v>
      </x:c>
      <x:c r="I569" s="29" t="n">
        <x:v>0</x:v>
      </x:c>
      <x:c r="J569" s="28" t="n">
        <x:f>H569+I569</x:f>
        <x:v>-143.3</x:v>
      </x:c>
      <x:c r="K569" s="26" t="str">
        <x:v>Projection-only v1.0</x:v>
      </x:c>
      <x:c r="L569" s="26" t="n">
        <x:f>RANK.EQ(J569,$J$5:$J$619,0)</x:f>
        <x:v>588</x:v>
      </x:c>
      <x:c r="M569" s="26" t="str">
        <x:f>IF(I569=0,"PROJECTION ONLY","EDITORIAL ADJUSTMENT")</x:f>
        <x:v>PROJECTION ONLY</x:v>
      </x:c>
    </x:row>
    <x:row r="570">
      <x:c r="A570" s="26" t="str">
        <x:v>TE</x:v>
      </x:c>
      <x:c r="B570" s="26" t="n">
        <x:v>143</x:v>
      </x:c>
      <x:c r="C570" s="26" t="str">
        <x:v>Josiah Deguara</x:v>
      </x:c>
      <x:c r="D570" s="26" t="str">
        <x:v>SF</x:v>
      </x:c>
      <x:c r="E570" s="28" t="n">
        <x:v>0</x:v>
      </x:c>
      <x:c r="F570" s="28" t="str">
        <x:v>TE|143</x:v>
      </x:c>
      <x:c r="G570" s="28" t="n">
        <x:f>XLOOKUP(A570,'Assumptions'!$A$12:$A$15,'Assumptions'!$C$12:$C$15)</x:f>
        <x:v>143.3</x:v>
      </x:c>
      <x:c r="H570" s="28" t="n">
        <x:f>E570-G570</x:f>
        <x:v>-143.3</x:v>
      </x:c>
      <x:c r="I570" s="29" t="n">
        <x:v>0</x:v>
      </x:c>
      <x:c r="J570" s="28" t="n">
        <x:f>H570+I570</x:f>
        <x:v>-143.3</x:v>
      </x:c>
      <x:c r="K570" s="26" t="str">
        <x:v>Projection-only v1.0</x:v>
      </x:c>
      <x:c r="L570" s="26" t="n">
        <x:f>RANK.EQ(J570,$J$5:$J$619,0)</x:f>
        <x:v>588</x:v>
      </x:c>
      <x:c r="M570" s="26" t="str">
        <x:f>IF(I570=0,"PROJECTION ONLY","EDITORIAL ADJUSTMENT")</x:f>
        <x:v>PROJECTION ONLY</x:v>
      </x:c>
    </x:row>
    <x:row r="571">
      <x:c r="A571" s="26" t="str">
        <x:v>TE</x:v>
      </x:c>
      <x:c r="B571" s="26" t="n">
        <x:v>144</x:v>
      </x:c>
      <x:c r="C571" s="26" t="str">
        <x:v>Anthony Firkser</x:v>
      </x:c>
      <x:c r="D571" s="26" t="str">
        <x:v>DET</x:v>
      </x:c>
      <x:c r="E571" s="28" t="n">
        <x:v>0</x:v>
      </x:c>
      <x:c r="F571" s="28" t="str">
        <x:v>TE|144</x:v>
      </x:c>
      <x:c r="G571" s="28" t="n">
        <x:f>XLOOKUP(A571,'Assumptions'!$A$12:$A$15,'Assumptions'!$C$12:$C$15)</x:f>
        <x:v>143.3</x:v>
      </x:c>
      <x:c r="H571" s="28" t="n">
        <x:f>E571-G571</x:f>
        <x:v>-143.3</x:v>
      </x:c>
      <x:c r="I571" s="29" t="n">
        <x:v>0</x:v>
      </x:c>
      <x:c r="J571" s="28" t="n">
        <x:f>H571+I571</x:f>
        <x:v>-143.3</x:v>
      </x:c>
      <x:c r="K571" s="26" t="str">
        <x:v>Projection-only v1.0</x:v>
      </x:c>
      <x:c r="L571" s="26" t="n">
        <x:f>RANK.EQ(J571,$J$5:$J$619,0)</x:f>
        <x:v>588</x:v>
      </x:c>
      <x:c r="M571" s="26" t="str">
        <x:f>IF(I571=0,"PROJECTION ONLY","EDITORIAL ADJUSTMENT")</x:f>
        <x:v>PROJECTION ONLY</x:v>
      </x:c>
    </x:row>
    <x:row r="572">
      <x:c r="A572" s="26" t="str">
        <x:v>TE</x:v>
      </x:c>
      <x:c r="B572" s="26" t="n">
        <x:v>145</x:v>
      </x:c>
      <x:c r="C572" s="26" t="str">
        <x:v>Zack Kuntz</x:v>
      </x:c>
      <x:c r="D572" s="26" t="str">
        <x:v>DAL</x:v>
      </x:c>
      <x:c r="E572" s="28" t="n">
        <x:v>0</x:v>
      </x:c>
      <x:c r="F572" s="28" t="str">
        <x:v>TE|145</x:v>
      </x:c>
      <x:c r="G572" s="28" t="n">
        <x:f>XLOOKUP(A572,'Assumptions'!$A$12:$A$15,'Assumptions'!$C$12:$C$15)</x:f>
        <x:v>143.3</x:v>
      </x:c>
      <x:c r="H572" s="28" t="n">
        <x:f>E572-G572</x:f>
        <x:v>-143.3</x:v>
      </x:c>
      <x:c r="I572" s="29" t="n">
        <x:v>0</x:v>
      </x:c>
      <x:c r="J572" s="28" t="n">
        <x:f>H572+I572</x:f>
        <x:v>-143.3</x:v>
      </x:c>
      <x:c r="K572" s="26" t="str">
        <x:v>Projection-only v1.0</x:v>
      </x:c>
      <x:c r="L572" s="26" t="n">
        <x:f>RANK.EQ(J572,$J$5:$J$619,0)</x:f>
        <x:v>588</x:v>
      </x:c>
      <x:c r="M572" s="26" t="str">
        <x:f>IF(I572=0,"PROJECTION ONLY","EDITORIAL ADJUSTMENT")</x:f>
        <x:v>PROJECTION ONLY</x:v>
      </x:c>
    </x:row>
    <x:row r="573">
      <x:c r="A573" s="26" t="str">
        <x:v>TE</x:v>
      </x:c>
      <x:c r="B573" s="26" t="n">
        <x:v>146</x:v>
      </x:c>
      <x:c r="C573" s="26" t="str">
        <x:v>Caleb Lohner</x:v>
      </x:c>
      <x:c r="D573" s="26" t="str">
        <x:v>DEN</x:v>
      </x:c>
      <x:c r="E573" s="28" t="n">
        <x:v>0</x:v>
      </x:c>
      <x:c r="F573" s="28" t="str">
        <x:v>TE|146</x:v>
      </x:c>
      <x:c r="G573" s="28" t="n">
        <x:f>XLOOKUP(A573,'Assumptions'!$A$12:$A$15,'Assumptions'!$C$12:$C$15)</x:f>
        <x:v>143.3</x:v>
      </x:c>
      <x:c r="H573" s="28" t="n">
        <x:f>E573-G573</x:f>
        <x:v>-143.3</x:v>
      </x:c>
      <x:c r="I573" s="29" t="n">
        <x:v>0</x:v>
      </x:c>
      <x:c r="J573" s="28" t="n">
        <x:f>H573+I573</x:f>
        <x:v>-143.3</x:v>
      </x:c>
      <x:c r="K573" s="26" t="str">
        <x:v>Projection-only v1.0</x:v>
      </x:c>
      <x:c r="L573" s="26" t="n">
        <x:f>RANK.EQ(J573,$J$5:$J$619,0)</x:f>
        <x:v>588</x:v>
      </x:c>
      <x:c r="M573" s="26" t="str">
        <x:f>IF(I573=0,"PROJECTION ONLY","EDITORIAL ADJUSTMENT")</x:f>
        <x:v>PROJECTION ONLY</x:v>
      </x:c>
    </x:row>
    <x:row r="574">
      <x:c r="A574" s="26" t="str">
        <x:v>TE</x:v>
      </x:c>
      <x:c r="B574" s="26" t="n">
        <x:v>147</x:v>
      </x:c>
      <x:c r="C574" s="26" t="str">
        <x:v>Jake Briningstool</x:v>
      </x:c>
      <x:c r="D574" s="26" t="str">
        <x:v>KC</x:v>
      </x:c>
      <x:c r="E574" s="28" t="n">
        <x:v>0</x:v>
      </x:c>
      <x:c r="F574" s="28" t="str">
        <x:v>TE|147</x:v>
      </x:c>
      <x:c r="G574" s="28" t="n">
        <x:f>XLOOKUP(A574,'Assumptions'!$A$12:$A$15,'Assumptions'!$C$12:$C$15)</x:f>
        <x:v>143.3</x:v>
      </x:c>
      <x:c r="H574" s="28" t="n">
        <x:f>E574-G574</x:f>
        <x:v>-143.3</x:v>
      </x:c>
      <x:c r="I574" s="29" t="n">
        <x:v>0</x:v>
      </x:c>
      <x:c r="J574" s="28" t="n">
        <x:f>H574+I574</x:f>
        <x:v>-143.3</x:v>
      </x:c>
      <x:c r="K574" s="26" t="str">
        <x:v>Projection-only v1.0</x:v>
      </x:c>
      <x:c r="L574" s="26" t="n">
        <x:f>RANK.EQ(J574,$J$5:$J$619,0)</x:f>
        <x:v>588</x:v>
      </x:c>
      <x:c r="M574" s="26" t="str">
        <x:f>IF(I574=0,"PROJECTION ONLY","EDITORIAL ADJUSTMENT")</x:f>
        <x:v>PROJECTION ONLY</x:v>
      </x:c>
    </x:row>
    <x:row r="575">
      <x:c r="A575" s="26" t="str">
        <x:v>TE</x:v>
      </x:c>
      <x:c r="B575" s="26" t="n">
        <x:v>148</x:v>
      </x:c>
      <x:c r="C575" s="26" t="str">
        <x:v>Cole Turner</x:v>
      </x:c>
      <x:c r="D575" s="26" t="str">
        <x:v>MIA</x:v>
      </x:c>
      <x:c r="E575" s="28" t="n">
        <x:v>0</x:v>
      </x:c>
      <x:c r="F575" s="28" t="str">
        <x:v>TE|148</x:v>
      </x:c>
      <x:c r="G575" s="28" t="n">
        <x:f>XLOOKUP(A575,'Assumptions'!$A$12:$A$15,'Assumptions'!$C$12:$C$15)</x:f>
        <x:v>143.3</x:v>
      </x:c>
      <x:c r="H575" s="28" t="n">
        <x:f>E575-G575</x:f>
        <x:v>-143.3</x:v>
      </x:c>
      <x:c r="I575" s="29" t="n">
        <x:v>0</x:v>
      </x:c>
      <x:c r="J575" s="28" t="n">
        <x:f>H575+I575</x:f>
        <x:v>-143.3</x:v>
      </x:c>
      <x:c r="K575" s="26" t="str">
        <x:v>Projection-only v1.0</x:v>
      </x:c>
      <x:c r="L575" s="26" t="n">
        <x:f>RANK.EQ(J575,$J$5:$J$619,0)</x:f>
        <x:v>588</x:v>
      </x:c>
      <x:c r="M575" s="26" t="str">
        <x:f>IF(I575=0,"PROJECTION ONLY","EDITORIAL ADJUSTMENT")</x:f>
        <x:v>PROJECTION ONLY</x:v>
      </x:c>
    </x:row>
    <x:row r="576">
      <x:c r="A576" s="26" t="str">
        <x:v>TE</x:v>
      </x:c>
      <x:c r="B576" s="26" t="n">
        <x:v>149</x:v>
      </x:c>
      <x:c r="C576" s="26" t="str">
        <x:v>David Martin-Robinson</x:v>
      </x:c>
      <x:c r="D576" s="26" t="str">
        <x:v>TEN</x:v>
      </x:c>
      <x:c r="E576" s="28" t="n">
        <x:v>0</x:v>
      </x:c>
      <x:c r="F576" s="28" t="str">
        <x:v>TE|149</x:v>
      </x:c>
      <x:c r="G576" s="28" t="n">
        <x:f>XLOOKUP(A576,'Assumptions'!$A$12:$A$15,'Assumptions'!$C$12:$C$15)</x:f>
        <x:v>143.3</x:v>
      </x:c>
      <x:c r="H576" s="28" t="n">
        <x:f>E576-G576</x:f>
        <x:v>-143.3</x:v>
      </x:c>
      <x:c r="I576" s="29" t="n">
        <x:v>0</x:v>
      </x:c>
      <x:c r="J576" s="28" t="n">
        <x:f>H576+I576</x:f>
        <x:v>-143.3</x:v>
      </x:c>
      <x:c r="K576" s="26" t="str">
        <x:v>Projection-only v1.0</x:v>
      </x:c>
      <x:c r="L576" s="26" t="n">
        <x:f>RANK.EQ(J576,$J$5:$J$619,0)</x:f>
        <x:v>588</x:v>
      </x:c>
      <x:c r="M576" s="26" t="str">
        <x:f>IF(I576=0,"PROJECTION ONLY","EDITORIAL ADJUSTMENT")</x:f>
        <x:v>PROJECTION ONLY</x:v>
      </x:c>
    </x:row>
    <x:row r="577">
      <x:c r="A577" s="26" t="str">
        <x:v>TE</x:v>
      </x:c>
      <x:c r="B577" s="26" t="n">
        <x:v>150</x:v>
      </x:c>
      <x:c r="C577" s="26" t="str">
        <x:v>Sean McKeon</x:v>
      </x:c>
      <x:c r="D577" s="26" t="str">
        <x:v>IND</x:v>
      </x:c>
      <x:c r="E577" s="28" t="n">
        <x:v>0</x:v>
      </x:c>
      <x:c r="F577" s="28" t="str">
        <x:v>TE|150</x:v>
      </x:c>
      <x:c r="G577" s="28" t="n">
        <x:f>XLOOKUP(A577,'Assumptions'!$A$12:$A$15,'Assumptions'!$C$12:$C$15)</x:f>
        <x:v>143.3</x:v>
      </x:c>
      <x:c r="H577" s="28" t="n">
        <x:f>E577-G577</x:f>
        <x:v>-143.3</x:v>
      </x:c>
      <x:c r="I577" s="29" t="n">
        <x:v>0</x:v>
      </x:c>
      <x:c r="J577" s="28" t="n">
        <x:f>H577+I577</x:f>
        <x:v>-143.3</x:v>
      </x:c>
      <x:c r="K577" s="26" t="str">
        <x:v>Projection-only v1.0</x:v>
      </x:c>
      <x:c r="L577" s="26" t="n">
        <x:f>RANK.EQ(J577,$J$5:$J$619,0)</x:f>
        <x:v>588</x:v>
      </x:c>
      <x:c r="M577" s="26" t="str">
        <x:f>IF(I577=0,"PROJECTION ONLY","EDITORIAL ADJUSTMENT")</x:f>
        <x:v>PROJECTION ONLY</x:v>
      </x:c>
    </x:row>
    <x:row r="578">
      <x:c r="A578" s="26" t="str">
        <x:v>TE</x:v>
      </x:c>
      <x:c r="B578" s="26" t="n">
        <x:v>151</x:v>
      </x:c>
      <x:c r="C578" s="26" t="str">
        <x:v>Jelani Woods</x:v>
      </x:c>
      <x:c r="D578" s="26" t="str">
        <x:v>NYJ</x:v>
      </x:c>
      <x:c r="E578" s="28" t="n">
        <x:v>0</x:v>
      </x:c>
      <x:c r="F578" s="28" t="str">
        <x:v>TE|151</x:v>
      </x:c>
      <x:c r="G578" s="28" t="n">
        <x:f>XLOOKUP(A578,'Assumptions'!$A$12:$A$15,'Assumptions'!$C$12:$C$15)</x:f>
        <x:v>143.3</x:v>
      </x:c>
      <x:c r="H578" s="28" t="n">
        <x:f>E578-G578</x:f>
        <x:v>-143.3</x:v>
      </x:c>
      <x:c r="I578" s="29" t="n">
        <x:v>0</x:v>
      </x:c>
      <x:c r="J578" s="28" t="n">
        <x:f>H578+I578</x:f>
        <x:v>-143.3</x:v>
      </x:c>
      <x:c r="K578" s="26" t="str">
        <x:v>Projection-only v1.0</x:v>
      </x:c>
      <x:c r="L578" s="26" t="n">
        <x:f>RANK.EQ(J578,$J$5:$J$619,0)</x:f>
        <x:v>588</x:v>
      </x:c>
      <x:c r="M578" s="26" t="str">
        <x:f>IF(I578=0,"PROJECTION ONLY","EDITORIAL ADJUSTMENT")</x:f>
        <x:v>PROJECTION ONLY</x:v>
      </x:c>
    </x:row>
    <x:row r="579">
      <x:c r="A579" s="26" t="str">
        <x:v>TE</x:v>
      </x:c>
      <x:c r="B579" s="26" t="n">
        <x:v>152</x:v>
      </x:c>
      <x:c r="C579" s="26" t="str">
        <x:v>Gavin Bartholomew</x:v>
      </x:c>
      <x:c r="D579" s="26" t="str">
        <x:v>MIN</x:v>
      </x:c>
      <x:c r="E579" s="28" t="n">
        <x:v>0</x:v>
      </x:c>
      <x:c r="F579" s="28" t="str">
        <x:v>TE|152</x:v>
      </x:c>
      <x:c r="G579" s="28" t="n">
        <x:f>XLOOKUP(A579,'Assumptions'!$A$12:$A$15,'Assumptions'!$C$12:$C$15)</x:f>
        <x:v>143.3</x:v>
      </x:c>
      <x:c r="H579" s="28" t="n">
        <x:f>E579-G579</x:f>
        <x:v>-143.3</x:v>
      </x:c>
      <x:c r="I579" s="29" t="n">
        <x:v>0</x:v>
      </x:c>
      <x:c r="J579" s="28" t="n">
        <x:f>H579+I579</x:f>
        <x:v>-143.3</x:v>
      </x:c>
      <x:c r="K579" s="26" t="str">
        <x:v>Projection-only v1.0</x:v>
      </x:c>
      <x:c r="L579" s="26" t="n">
        <x:f>RANK.EQ(J579,$J$5:$J$619,0)</x:f>
        <x:v>588</x:v>
      </x:c>
      <x:c r="M579" s="26" t="str">
        <x:f>IF(I579=0,"PROJECTION ONLY","EDITORIAL ADJUSTMENT")</x:f>
        <x:v>PROJECTION ONLY</x:v>
      </x:c>
    </x:row>
    <x:row r="580">
      <x:c r="A580" s="26" t="str">
        <x:v>TE</x:v>
      </x:c>
      <x:c r="B580" s="26" t="n">
        <x:v>153</x:v>
      </x:c>
      <x:c r="C580" s="26" t="str">
        <x:v>Brenden Bates</x:v>
      </x:c>
      <x:c r="D580" s="26" t="str">
        <x:v>CLE</x:v>
      </x:c>
      <x:c r="E580" s="28" t="n">
        <x:v>0</x:v>
      </x:c>
      <x:c r="F580" s="28" t="str">
        <x:v>TE|153</x:v>
      </x:c>
      <x:c r="G580" s="28" t="n">
        <x:f>XLOOKUP(A580,'Assumptions'!$A$12:$A$15,'Assumptions'!$C$12:$C$15)</x:f>
        <x:v>143.3</x:v>
      </x:c>
      <x:c r="H580" s="28" t="n">
        <x:f>E580-G580</x:f>
        <x:v>-143.3</x:v>
      </x:c>
      <x:c r="I580" s="29" t="n">
        <x:v>0</x:v>
      </x:c>
      <x:c r="J580" s="28" t="n">
        <x:f>H580+I580</x:f>
        <x:v>-143.3</x:v>
      </x:c>
      <x:c r="K580" s="26" t="str">
        <x:v>Projection-only v1.0</x:v>
      </x:c>
      <x:c r="L580" s="26" t="n">
        <x:f>RANK.EQ(J580,$J$5:$J$619,0)</x:f>
        <x:v>588</x:v>
      </x:c>
      <x:c r="M580" s="26" t="str">
        <x:f>IF(I580=0,"PROJECTION ONLY","EDITORIAL ADJUSTMENT")</x:f>
        <x:v>PROJECTION ONLY</x:v>
      </x:c>
    </x:row>
    <x:row r="581">
      <x:c r="A581" s="26" t="str">
        <x:v>TE</x:v>
      </x:c>
      <x:c r="B581" s="26" t="n">
        <x:v>154</x:v>
      </x:c>
      <x:c r="C581" s="26" t="str">
        <x:v>Carsen Ryan</x:v>
      </x:c>
      <x:c r="D581" s="26" t="str">
        <x:v>CLE</x:v>
      </x:c>
      <x:c r="E581" s="28" t="n">
        <x:v>0</x:v>
      </x:c>
      <x:c r="F581" s="28" t="str">
        <x:v>TE|154</x:v>
      </x:c>
      <x:c r="G581" s="28" t="n">
        <x:f>XLOOKUP(A581,'Assumptions'!$A$12:$A$15,'Assumptions'!$C$12:$C$15)</x:f>
        <x:v>143.3</x:v>
      </x:c>
      <x:c r="H581" s="28" t="n">
        <x:f>E581-G581</x:f>
        <x:v>-143.3</x:v>
      </x:c>
      <x:c r="I581" s="29" t="n">
        <x:v>0</x:v>
      </x:c>
      <x:c r="J581" s="28" t="n">
        <x:f>H581+I581</x:f>
        <x:v>-143.3</x:v>
      </x:c>
      <x:c r="K581" s="26" t="str">
        <x:v>Projection-only v1.0</x:v>
      </x:c>
      <x:c r="L581" s="26" t="n">
        <x:f>RANK.EQ(J581,$J$5:$J$619,0)</x:f>
        <x:v>588</x:v>
      </x:c>
      <x:c r="M581" s="26" t="str">
        <x:f>IF(I581=0,"PROJECTION ONLY","EDITORIAL ADJUSTMENT")</x:f>
        <x:v>PROJECTION ONLY</x:v>
      </x:c>
    </x:row>
    <x:row r="582">
      <x:c r="A582" s="26" t="str">
        <x:v>TE</x:v>
      </x:c>
      <x:c r="B582" s="26" t="n">
        <x:v>155</x:v>
      </x:c>
      <x:c r="C582" s="26" t="str">
        <x:v>Albert Okwuegbunam</x:v>
      </x:c>
      <x:c r="D582" s="26" t="str">
        <x:v>LV</x:v>
      </x:c>
      <x:c r="E582" s="28" t="n">
        <x:v>0</x:v>
      </x:c>
      <x:c r="F582" s="28" t="str">
        <x:v>TE|155</x:v>
      </x:c>
      <x:c r="G582" s="28" t="n">
        <x:f>XLOOKUP(A582,'Assumptions'!$A$12:$A$15,'Assumptions'!$C$12:$C$15)</x:f>
        <x:v>143.3</x:v>
      </x:c>
      <x:c r="H582" s="28" t="n">
        <x:f>E582-G582</x:f>
        <x:v>-143.3</x:v>
      </x:c>
      <x:c r="I582" s="29" t="n">
        <x:v>0</x:v>
      </x:c>
      <x:c r="J582" s="28" t="n">
        <x:f>H582+I582</x:f>
        <x:v>-143.3</x:v>
      </x:c>
      <x:c r="K582" s="26" t="str">
        <x:v>Projection-only v1.0</x:v>
      </x:c>
      <x:c r="L582" s="26" t="n">
        <x:f>RANK.EQ(J582,$J$5:$J$619,0)</x:f>
        <x:v>588</x:v>
      </x:c>
      <x:c r="M582" s="26" t="str">
        <x:f>IF(I582=0,"PROJECTION ONLY","EDITORIAL ADJUSTMENT")</x:f>
        <x:v>PROJECTION ONLY</x:v>
      </x:c>
    </x:row>
    <x:row r="583">
      <x:c r="A583" s="26" t="str">
        <x:v>QB</x:v>
      </x:c>
      <x:c r="B583" s="26" t="n">
        <x:v>1</x:v>
      </x:c>
      <x:c r="C583" s="26" t="str">
        <x:v>Josh Allen</x:v>
      </x:c>
      <x:c r="D583" s="26" t="str">
        <x:v>BUF</x:v>
      </x:c>
      <x:c r="E583" s="28" t="n">
        <x:v>361.1</x:v>
      </x:c>
      <x:c r="F583" s="28" t="str">
        <x:v>QB|1</x:v>
      </x:c>
      <x:c r="G583" s="28" t="n">
        <x:f>XLOOKUP(A583,'Assumptions'!$A$12:$A$15,'Assumptions'!$C$12:$C$15)</x:f>
        <x:v>290.6</x:v>
      </x:c>
      <x:c r="H583" s="28" t="n">
        <x:f>E583-G583</x:f>
        <x:v>70.5</x:v>
      </x:c>
      <x:c r="I583" s="29" t="n">
        <x:v>0</x:v>
      </x:c>
      <x:c r="J583" s="28" t="n">
        <x:f>H583+I583</x:f>
        <x:v>70.5</x:v>
      </x:c>
      <x:c r="K583" s="26" t="str">
        <x:v>Projection-only v1.0</x:v>
      </x:c>
      <x:c r="L583" s="26" t="n">
        <x:f>RANK.EQ(J583,$J$5:$J$619,0)</x:f>
        <x:v>35</x:v>
      </x:c>
      <x:c r="M583" s="26" t="str">
        <x:f>IF(I583=0,"PROJECTION ONLY","EDITORIAL ADJUSTMENT")</x:f>
        <x:v>PROJECTION ONLY</x:v>
      </x:c>
    </x:row>
    <x:row r="584">
      <x:c r="A584" s="26" t="str">
        <x:v>QB</x:v>
      </x:c>
      <x:c r="B584" s="26" t="n">
        <x:v>2</x:v>
      </x:c>
      <x:c r="C584" s="26" t="str">
        <x:v>Jayden Daniels</x:v>
      </x:c>
      <x:c r="D584" s="26" t="str">
        <x:v>WAS</x:v>
      </x:c>
      <x:c r="E584" s="28" t="n">
        <x:v>318.4</x:v>
      </x:c>
      <x:c r="F584" s="28" t="str">
        <x:v>QB|2</x:v>
      </x:c>
      <x:c r="G584" s="28" t="n">
        <x:f>XLOOKUP(A584,'Assumptions'!$A$12:$A$15,'Assumptions'!$C$12:$C$15)</x:f>
        <x:v>290.6</x:v>
      </x:c>
      <x:c r="H584" s="28" t="n">
        <x:f>E584-G584</x:f>
        <x:v>27.799999999999955</x:v>
      </x:c>
      <x:c r="I584" s="29" t="n">
        <x:v>0</x:v>
      </x:c>
      <x:c r="J584" s="28" t="n">
        <x:f>H584+I584</x:f>
        <x:v>27.799999999999955</x:v>
      </x:c>
      <x:c r="K584" s="26" t="str">
        <x:v>Projection-only v1.0</x:v>
      </x:c>
      <x:c r="L584" s="26" t="n">
        <x:f>RANK.EQ(J584,$J$5:$J$619,0)</x:f>
        <x:v>71</x:v>
      </x:c>
      <x:c r="M584" s="26" t="str">
        <x:f>IF(I584=0,"PROJECTION ONLY","EDITORIAL ADJUSTMENT")</x:f>
        <x:v>PROJECTION ONLY</x:v>
      </x:c>
    </x:row>
    <x:row r="585">
      <x:c r="A585" s="26" t="str">
        <x:v>QB</x:v>
      </x:c>
      <x:c r="B585" s="26" t="n">
        <x:v>3</x:v>
      </x:c>
      <x:c r="C585" s="26" t="str">
        <x:v>Caleb Williams</x:v>
      </x:c>
      <x:c r="D585" s="26" t="str">
        <x:v>CHI</x:v>
      </x:c>
      <x:c r="E585" s="28" t="n">
        <x:v>317.1</x:v>
      </x:c>
      <x:c r="F585" s="28" t="str">
        <x:v>QB|3</x:v>
      </x:c>
      <x:c r="G585" s="28" t="n">
        <x:f>XLOOKUP(A585,'Assumptions'!$A$12:$A$15,'Assumptions'!$C$12:$C$15)</x:f>
        <x:v>290.6</x:v>
      </x:c>
      <x:c r="H585" s="28" t="n">
        <x:f>E585-G585</x:f>
        <x:v>26.5</x:v>
      </x:c>
      <x:c r="I585" s="29" t="n">
        <x:v>0</x:v>
      </x:c>
      <x:c r="J585" s="28" t="n">
        <x:f>H585+I585</x:f>
        <x:v>26.5</x:v>
      </x:c>
      <x:c r="K585" s="26" t="str">
        <x:v>Projection-only v1.0</x:v>
      </x:c>
      <x:c r="L585" s="26" t="n">
        <x:f>RANK.EQ(J585,$J$5:$J$619,0)</x:f>
        <x:v>73</x:v>
      </x:c>
      <x:c r="M585" s="26" t="str">
        <x:f>IF(I585=0,"PROJECTION ONLY","EDITORIAL ADJUSTMENT")</x:f>
        <x:v>PROJECTION ONLY</x:v>
      </x:c>
    </x:row>
    <x:row r="586">
      <x:c r="A586" s="26" t="str">
        <x:v>QB</x:v>
      </x:c>
      <x:c r="B586" s="26" t="n">
        <x:v>4</x:v>
      </x:c>
      <x:c r="C586" s="26" t="str">
        <x:v>Lamar Jackson</x:v>
      </x:c>
      <x:c r="D586" s="26" t="str">
        <x:v>BAL</x:v>
      </x:c>
      <x:c r="E586" s="28" t="n">
        <x:v>316.9</x:v>
      </x:c>
      <x:c r="F586" s="28" t="str">
        <x:v>QB|4</x:v>
      </x:c>
      <x:c r="G586" s="28" t="n">
        <x:f>XLOOKUP(A586,'Assumptions'!$A$12:$A$15,'Assumptions'!$C$12:$C$15)</x:f>
        <x:v>290.6</x:v>
      </x:c>
      <x:c r="H586" s="28" t="n">
        <x:f>E586-G586</x:f>
        <x:v>26.299999999999955</x:v>
      </x:c>
      <x:c r="I586" s="29" t="n">
        <x:v>0</x:v>
      </x:c>
      <x:c r="J586" s="28" t="n">
        <x:f>H586+I586</x:f>
        <x:v>26.299999999999955</x:v>
      </x:c>
      <x:c r="K586" s="26" t="str">
        <x:v>Projection-only v1.0</x:v>
      </x:c>
      <x:c r="L586" s="26" t="n">
        <x:f>RANK.EQ(J586,$J$5:$J$619,0)</x:f>
        <x:v>74</x:v>
      </x:c>
      <x:c r="M586" s="26" t="str">
        <x:f>IF(I586=0,"PROJECTION ONLY","EDITORIAL ADJUSTMENT")</x:f>
        <x:v>PROJECTION ONLY</x:v>
      </x:c>
    </x:row>
    <x:row r="587">
      <x:c r="A587" s="26" t="str">
        <x:v>QB</x:v>
      </x:c>
      <x:c r="B587" s="26" t="n">
        <x:v>5</x:v>
      </x:c>
      <x:c r="C587" s="26" t="str">
        <x:v>Drake Maye</x:v>
      </x:c>
      <x:c r="D587" s="26" t="str">
        <x:v>NE</x:v>
      </x:c>
      <x:c r="E587" s="28" t="n">
        <x:v>316.1</x:v>
      </x:c>
      <x:c r="F587" s="28" t="str">
        <x:v>QB|5</x:v>
      </x:c>
      <x:c r="G587" s="28" t="n">
        <x:f>XLOOKUP(A587,'Assumptions'!$A$12:$A$15,'Assumptions'!$C$12:$C$15)</x:f>
        <x:v>290.6</x:v>
      </x:c>
      <x:c r="H587" s="28" t="n">
        <x:f>E587-G587</x:f>
        <x:v>25.5</x:v>
      </x:c>
      <x:c r="I587" s="29" t="n">
        <x:v>0</x:v>
      </x:c>
      <x:c r="J587" s="28" t="n">
        <x:f>H587+I587</x:f>
        <x:v>25.5</x:v>
      </x:c>
      <x:c r="K587" s="26" t="str">
        <x:v>Projection-only v1.0</x:v>
      </x:c>
      <x:c r="L587" s="26" t="n">
        <x:f>RANK.EQ(J587,$J$5:$J$619,0)</x:f>
        <x:v>76</x:v>
      </x:c>
      <x:c r="M587" s="26" t="str">
        <x:f>IF(I587=0,"PROJECTION ONLY","EDITORIAL ADJUSTMENT")</x:f>
        <x:v>PROJECTION ONLY</x:v>
      </x:c>
    </x:row>
    <x:row r="588">
      <x:c r="A588" s="26" t="str">
        <x:v>QB</x:v>
      </x:c>
      <x:c r="B588" s="26" t="n">
        <x:v>6</x:v>
      </x:c>
      <x:c r="C588" s="26" t="str">
        <x:v>Jalen Hurts</x:v>
      </x:c>
      <x:c r="D588" s="26" t="str">
        <x:v>PHI</x:v>
      </x:c>
      <x:c r="E588" s="28" t="n">
        <x:v>313.7</x:v>
      </x:c>
      <x:c r="F588" s="28" t="str">
        <x:v>QB|6</x:v>
      </x:c>
      <x:c r="G588" s="28" t="n">
        <x:f>XLOOKUP(A588,'Assumptions'!$A$12:$A$15,'Assumptions'!$C$12:$C$15)</x:f>
        <x:v>290.6</x:v>
      </x:c>
      <x:c r="H588" s="28" t="n">
        <x:f>E588-G588</x:f>
        <x:v>23.099999999999966</x:v>
      </x:c>
      <x:c r="I588" s="29" t="n">
        <x:v>0</x:v>
      </x:c>
      <x:c r="J588" s="28" t="n">
        <x:f>H588+I588</x:f>
        <x:v>23.099999999999966</x:v>
      </x:c>
      <x:c r="K588" s="26" t="str">
        <x:v>Projection-only v1.0</x:v>
      </x:c>
      <x:c r="L588" s="26" t="n">
        <x:f>RANK.EQ(J588,$J$5:$J$619,0)</x:f>
        <x:v>79</x:v>
      </x:c>
      <x:c r="M588" s="26" t="str">
        <x:f>IF(I588=0,"PROJECTION ONLY","EDITORIAL ADJUSTMENT")</x:f>
        <x:v>PROJECTION ONLY</x:v>
      </x:c>
    </x:row>
    <x:row r="589">
      <x:c r="A589" s="26" t="str">
        <x:v>QB</x:v>
      </x:c>
      <x:c r="B589" s="26" t="n">
        <x:v>7</x:v>
      </x:c>
      <x:c r="C589" s="26" t="str">
        <x:v>Joe Burrow</x:v>
      </x:c>
      <x:c r="D589" s="26" t="str">
        <x:v>CIN</x:v>
      </x:c>
      <x:c r="E589" s="28" t="n">
        <x:v>305.5</x:v>
      </x:c>
      <x:c r="F589" s="28" t="str">
        <x:v>QB|7</x:v>
      </x:c>
      <x:c r="G589" s="28" t="n">
        <x:f>XLOOKUP(A589,'Assumptions'!$A$12:$A$15,'Assumptions'!$C$12:$C$15)</x:f>
        <x:v>290.6</x:v>
      </x:c>
      <x:c r="H589" s="28" t="n">
        <x:f>E589-G589</x:f>
        <x:v>14.899999999999977</x:v>
      </x:c>
      <x:c r="I589" s="29" t="n">
        <x:v>0</x:v>
      </x:c>
      <x:c r="J589" s="28" t="n">
        <x:f>H589+I589</x:f>
        <x:v>14.899999999999977</x:v>
      </x:c>
      <x:c r="K589" s="26" t="str">
        <x:v>Projection-only v1.0</x:v>
      </x:c>
      <x:c r="L589" s="26" t="n">
        <x:f>RANK.EQ(J589,$J$5:$J$619,0)</x:f>
        <x:v>84</x:v>
      </x:c>
      <x:c r="M589" s="26" t="str">
        <x:f>IF(I589=0,"PROJECTION ONLY","EDITORIAL ADJUSTMENT")</x:f>
        <x:v>PROJECTION ONLY</x:v>
      </x:c>
    </x:row>
    <x:row r="590">
      <x:c r="A590" s="26" t="str">
        <x:v>QB</x:v>
      </x:c>
      <x:c r="B590" s="26" t="n">
        <x:v>8</x:v>
      </x:c>
      <x:c r="C590" s="26" t="str">
        <x:v>Trevor Lawrence</x:v>
      </x:c>
      <x:c r="D590" s="26" t="str">
        <x:v>JAX</x:v>
      </x:c>
      <x:c r="E590" s="28" t="n">
        <x:v>297.7</x:v>
      </x:c>
      <x:c r="F590" s="28" t="str">
        <x:v>QB|8</x:v>
      </x:c>
      <x:c r="G590" s="28" t="n">
        <x:f>XLOOKUP(A590,'Assumptions'!$A$12:$A$15,'Assumptions'!$C$12:$C$15)</x:f>
        <x:v>290.6</x:v>
      </x:c>
      <x:c r="H590" s="28" t="n">
        <x:f>E590-G590</x:f>
        <x:v>7.099999999999966</x:v>
      </x:c>
      <x:c r="I590" s="29" t="n">
        <x:v>0</x:v>
      </x:c>
      <x:c r="J590" s="28" t="n">
        <x:f>H590+I590</x:f>
        <x:v>7.099999999999966</x:v>
      </x:c>
      <x:c r="K590" s="26" t="str">
        <x:v>Projection-only v1.0</x:v>
      </x:c>
      <x:c r="L590" s="26" t="n">
        <x:f>RANK.EQ(J590,$J$5:$J$619,0)</x:f>
        <x:v>93</x:v>
      </x:c>
      <x:c r="M590" s="26" t="str">
        <x:f>IF(I590=0,"PROJECTION ONLY","EDITORIAL ADJUSTMENT")</x:f>
        <x:v>PROJECTION ONLY</x:v>
      </x:c>
    </x:row>
    <x:row r="591">
      <x:c r="A591" s="26" t="str">
        <x:v>QB</x:v>
      </x:c>
      <x:c r="B591" s="26" t="n">
        <x:v>9</x:v>
      </x:c>
      <x:c r="C591" s="26" t="str">
        <x:v>Justin Herbert</x:v>
      </x:c>
      <x:c r="D591" s="26" t="str">
        <x:v>LAC</x:v>
      </x:c>
      <x:c r="E591" s="28" t="n">
        <x:v>297.6</x:v>
      </x:c>
      <x:c r="F591" s="28" t="str">
        <x:v>QB|9</x:v>
      </x:c>
      <x:c r="G591" s="28" t="n">
        <x:f>XLOOKUP(A591,'Assumptions'!$A$12:$A$15,'Assumptions'!$C$12:$C$15)</x:f>
        <x:v>290.6</x:v>
      </x:c>
      <x:c r="H591" s="28" t="n">
        <x:f>E591-G591</x:f>
        <x:v>7</x:v>
      </x:c>
      <x:c r="I591" s="29" t="n">
        <x:v>0</x:v>
      </x:c>
      <x:c r="J591" s="28" t="n">
        <x:f>H591+I591</x:f>
        <x:v>7</x:v>
      </x:c>
      <x:c r="K591" s="26" t="str">
        <x:v>Projection-only v1.0</x:v>
      </x:c>
      <x:c r="L591" s="26" t="n">
        <x:f>RANK.EQ(J591,$J$5:$J$619,0)</x:f>
        <x:v>94</x:v>
      </x:c>
      <x:c r="M591" s="26" t="str">
        <x:f>IF(I591=0,"PROJECTION ONLY","EDITORIAL ADJUSTMENT")</x:f>
        <x:v>PROJECTION ONLY</x:v>
      </x:c>
    </x:row>
    <x:row r="592">
      <x:c r="A592" s="26" t="str">
        <x:v>QB</x:v>
      </x:c>
      <x:c r="B592" s="26" t="n">
        <x:v>10</x:v>
      </x:c>
      <x:c r="C592" s="26" t="str">
        <x:v>Jaxson Dart</x:v>
      </x:c>
      <x:c r="D592" s="26" t="str">
        <x:v>NYG</x:v>
      </x:c>
      <x:c r="E592" s="28" t="n">
        <x:v>296.8</x:v>
      </x:c>
      <x:c r="F592" s="28" t="str">
        <x:v>QB|10</x:v>
      </x:c>
      <x:c r="G592" s="28" t="n">
        <x:f>XLOOKUP(A592,'Assumptions'!$A$12:$A$15,'Assumptions'!$C$12:$C$15)</x:f>
        <x:v>290.6</x:v>
      </x:c>
      <x:c r="H592" s="28" t="n">
        <x:f>E592-G592</x:f>
        <x:v>6.199999999999989</x:v>
      </x:c>
      <x:c r="I592" s="29" t="n">
        <x:v>0</x:v>
      </x:c>
      <x:c r="J592" s="28" t="n">
        <x:f>H592+I592</x:f>
        <x:v>6.199999999999989</x:v>
      </x:c>
      <x:c r="K592" s="26" t="str">
        <x:v>Projection-only v1.0</x:v>
      </x:c>
      <x:c r="L592" s="26" t="n">
        <x:f>RANK.EQ(J592,$J$5:$J$619,0)</x:f>
        <x:v>98</x:v>
      </x:c>
      <x:c r="M592" s="26" t="str">
        <x:f>IF(I592=0,"PROJECTION ONLY","EDITORIAL ADJUSTMENT")</x:f>
        <x:v>PROJECTION ONLY</x:v>
      </x:c>
    </x:row>
    <x:row r="593">
      <x:c r="A593" s="26" t="str">
        <x:v>QB</x:v>
      </x:c>
      <x:c r="B593" s="26" t="n">
        <x:v>11</x:v>
      </x:c>
      <x:c r="C593" s="26" t="str">
        <x:v>Bo Nix</x:v>
      </x:c>
      <x:c r="D593" s="26" t="str">
        <x:v>DEN</x:v>
      </x:c>
      <x:c r="E593" s="28" t="n">
        <x:v>294.1</x:v>
      </x:c>
      <x:c r="F593" s="28" t="str">
        <x:v>QB|11</x:v>
      </x:c>
      <x:c r="G593" s="28" t="n">
        <x:f>XLOOKUP(A593,'Assumptions'!$A$12:$A$15,'Assumptions'!$C$12:$C$15)</x:f>
        <x:v>290.6</x:v>
      </x:c>
      <x:c r="H593" s="28" t="n">
        <x:f>E593-G593</x:f>
        <x:v>3.5</x:v>
      </x:c>
      <x:c r="I593" s="29" t="n">
        <x:v>0</x:v>
      </x:c>
      <x:c r="J593" s="28" t="n">
        <x:f>H593+I593</x:f>
        <x:v>3.5</x:v>
      </x:c>
      <x:c r="K593" s="26" t="str">
        <x:v>Projection-only v1.0</x:v>
      </x:c>
      <x:c r="L593" s="26" t="n">
        <x:f>RANK.EQ(J593,$J$5:$J$619,0)</x:f>
        <x:v>103</x:v>
      </x:c>
      <x:c r="M593" s="26" t="str">
        <x:f>IF(I593=0,"PROJECTION ONLY","EDITORIAL ADJUSTMENT")</x:f>
        <x:v>PROJECTION ONLY</x:v>
      </x:c>
    </x:row>
    <x:row r="594">
      <x:c r="A594" s="26" t="str">
        <x:v>QB</x:v>
      </x:c>
      <x:c r="B594" s="26" t="n">
        <x:v>12</x:v>
      </x:c>
      <x:c r="C594" s="26" t="str">
        <x:v>Dak Prescott</x:v>
      </x:c>
      <x:c r="D594" s="26" t="str">
        <x:v>DAL</x:v>
      </x:c>
      <x:c r="E594" s="28" t="n">
        <x:v>292.6</x:v>
      </x:c>
      <x:c r="F594" s="28" t="str">
        <x:v>QB|12</x:v>
      </x:c>
      <x:c r="G594" s="28" t="n">
        <x:f>XLOOKUP(A594,'Assumptions'!$A$12:$A$15,'Assumptions'!$C$12:$C$15)</x:f>
        <x:v>290.6</x:v>
      </x:c>
      <x:c r="H594" s="28" t="n">
        <x:f>E594-G594</x:f>
        <x:v>2</x:v>
      </x:c>
      <x:c r="I594" s="29" t="n">
        <x:v>0</x:v>
      </x:c>
      <x:c r="J594" s="28" t="n">
        <x:f>H594+I594</x:f>
        <x:v>2</x:v>
      </x:c>
      <x:c r="K594" s="26" t="str">
        <x:v>Projection-only v1.0</x:v>
      </x:c>
      <x:c r="L594" s="26" t="n">
        <x:f>RANK.EQ(J594,$J$5:$J$619,0)</x:f>
        <x:v>105</x:v>
      </x:c>
      <x:c r="M594" s="26" t="str">
        <x:f>IF(I594=0,"PROJECTION ONLY","EDITORIAL ADJUSTMENT")</x:f>
        <x:v>PROJECTION ONLY</x:v>
      </x:c>
    </x:row>
    <x:row r="595">
      <x:c r="A595" s="26" t="str">
        <x:v>QB</x:v>
      </x:c>
      <x:c r="B595" s="26" t="n">
        <x:v>13</x:v>
      </x:c>
      <x:c r="C595" s="26" t="str">
        <x:v>Brock Purdy</x:v>
      </x:c>
      <x:c r="D595" s="26" t="str">
        <x:v>SF</x:v>
      </x:c>
      <x:c r="E595" s="28" t="n">
        <x:v>290.6</x:v>
      </x:c>
      <x:c r="F595" s="28" t="str">
        <x:v>QB|13</x:v>
      </x:c>
      <x:c r="G595" s="28" t="n">
        <x:f>XLOOKUP(A595,'Assumptions'!$A$12:$A$15,'Assumptions'!$C$12:$C$15)</x:f>
        <x:v>290.6</x:v>
      </x:c>
      <x:c r="H595" s="28" t="n">
        <x:f>E595-G595</x:f>
        <x:v>0</x:v>
      </x:c>
      <x:c r="I595" s="29" t="n">
        <x:v>0</x:v>
      </x:c>
      <x:c r="J595" s="28" t="n">
        <x:f>H595+I595</x:f>
        <x:v>0</x:v>
      </x:c>
      <x:c r="K595" s="26" t="str">
        <x:v>Projection-only v1.0</x:v>
      </x:c>
      <x:c r="L595" s="26" t="n">
        <x:f>RANK.EQ(J595,$J$5:$J$619,0)</x:f>
        <x:v>109</x:v>
      </x:c>
      <x:c r="M595" s="26" t="str">
        <x:f>IF(I595=0,"PROJECTION ONLY","EDITORIAL ADJUSTMENT")</x:f>
        <x:v>PROJECTION ONLY</x:v>
      </x:c>
    </x:row>
    <x:row r="596">
      <x:c r="A596" s="26" t="str">
        <x:v>QB</x:v>
      </x:c>
      <x:c r="B596" s="26" t="n">
        <x:v>14</x:v>
      </x:c>
      <x:c r="C596" s="26" t="str">
        <x:v>Jared Goff</x:v>
      </x:c>
      <x:c r="D596" s="26" t="str">
        <x:v>DET</x:v>
      </x:c>
      <x:c r="E596" s="28" t="n">
        <x:v>289.5</x:v>
      </x:c>
      <x:c r="F596" s="28" t="str">
        <x:v>QB|14</x:v>
      </x:c>
      <x:c r="G596" s="28" t="n">
        <x:f>XLOOKUP(A596,'Assumptions'!$A$12:$A$15,'Assumptions'!$C$12:$C$15)</x:f>
        <x:v>290.6</x:v>
      </x:c>
      <x:c r="H596" s="28" t="n">
        <x:f>E596-G596</x:f>
        <x:v>-1.1000000000000227</x:v>
      </x:c>
      <x:c r="I596" s="29" t="n">
        <x:v>0</x:v>
      </x:c>
      <x:c r="J596" s="28" t="n">
        <x:f>H596+I596</x:f>
        <x:v>-1.1000000000000227</x:v>
      </x:c>
      <x:c r="K596" s="26" t="str">
        <x:v>Projection-only v1.0</x:v>
      </x:c>
      <x:c r="L596" s="26" t="n">
        <x:f>RANK.EQ(J596,$J$5:$J$619,0)</x:f>
        <x:v>115</x:v>
      </x:c>
      <x:c r="M596" s="26" t="str">
        <x:f>IF(I596=0,"PROJECTION ONLY","EDITORIAL ADJUSTMENT")</x:f>
        <x:v>PROJECTION ONLY</x:v>
      </x:c>
    </x:row>
    <x:row r="597">
      <x:c r="A597" s="26" t="str">
        <x:v>QB</x:v>
      </x:c>
      <x:c r="B597" s="26" t="n">
        <x:v>15</x:v>
      </x:c>
      <x:c r="C597" s="26" t="str">
        <x:v>Patrick Mahomes</x:v>
      </x:c>
      <x:c r="D597" s="26" t="str">
        <x:v>KC</x:v>
      </x:c>
      <x:c r="E597" s="28" t="n">
        <x:v>285.3</x:v>
      </x:c>
      <x:c r="F597" s="28" t="str">
        <x:v>QB|15</x:v>
      </x:c>
      <x:c r="G597" s="28" t="n">
        <x:f>XLOOKUP(A597,'Assumptions'!$A$12:$A$15,'Assumptions'!$C$12:$C$15)</x:f>
        <x:v>290.6</x:v>
      </x:c>
      <x:c r="H597" s="28" t="n">
        <x:f>E597-G597</x:f>
        <x:v>-5.300000000000011</x:v>
      </x:c>
      <x:c r="I597" s="29" t="n">
        <x:v>0</x:v>
      </x:c>
      <x:c r="J597" s="28" t="n">
        <x:f>H597+I597</x:f>
        <x:v>-5.300000000000011</x:v>
      </x:c>
      <x:c r="K597" s="26" t="str">
        <x:v>Projection-only v1.0</x:v>
      </x:c>
      <x:c r="L597" s="26" t="n">
        <x:f>RANK.EQ(J597,$J$5:$J$619,0)</x:f>
        <x:v>120</x:v>
      </x:c>
      <x:c r="M597" s="26" t="str">
        <x:f>IF(I597=0,"PROJECTION ONLY","EDITORIAL ADJUSTMENT")</x:f>
        <x:v>PROJECTION ONLY</x:v>
      </x:c>
    </x:row>
    <x:row r="598">
      <x:c r="A598" s="26" t="str">
        <x:v>QB</x:v>
      </x:c>
      <x:c r="B598" s="26" t="n">
        <x:v>16</x:v>
      </x:c>
      <x:c r="C598" s="26" t="str">
        <x:v>Baker Mayfield</x:v>
      </x:c>
      <x:c r="D598" s="26" t="str">
        <x:v>TB</x:v>
      </x:c>
      <x:c r="E598" s="28" t="n">
        <x:v>275.2</x:v>
      </x:c>
      <x:c r="F598" s="28" t="str">
        <x:v>QB|16</x:v>
      </x:c>
      <x:c r="G598" s="28" t="n">
        <x:f>XLOOKUP(A598,'Assumptions'!$A$12:$A$15,'Assumptions'!$C$12:$C$15)</x:f>
        <x:v>290.6</x:v>
      </x:c>
      <x:c r="H598" s="28" t="n">
        <x:f>E598-G598</x:f>
        <x:v>-15.400000000000034</x:v>
      </x:c>
      <x:c r="I598" s="29" t="n">
        <x:v>0</x:v>
      </x:c>
      <x:c r="J598" s="28" t="n">
        <x:f>H598+I598</x:f>
        <x:v>-15.400000000000034</x:v>
      </x:c>
      <x:c r="K598" s="26" t="str">
        <x:v>Projection-only v1.0</x:v>
      </x:c>
      <x:c r="L598" s="26" t="n">
        <x:f>RANK.EQ(J598,$J$5:$J$619,0)</x:f>
        <x:v>132</x:v>
      </x:c>
      <x:c r="M598" s="26" t="str">
        <x:f>IF(I598=0,"PROJECTION ONLY","EDITORIAL ADJUSTMENT")</x:f>
        <x:v>PROJECTION ONLY</x:v>
      </x:c>
    </x:row>
    <x:row r="599">
      <x:c r="A599" s="26" t="str">
        <x:v>QB</x:v>
      </x:c>
      <x:c r="B599" s="26" t="n">
        <x:v>17</x:v>
      </x:c>
      <x:c r="C599" s="26" t="str">
        <x:v>Matthew Stafford</x:v>
      </x:c>
      <x:c r="D599" s="26" t="str">
        <x:v>LAR</x:v>
      </x:c>
      <x:c r="E599" s="28" t="n">
        <x:v>273.1</x:v>
      </x:c>
      <x:c r="F599" s="28" t="str">
        <x:v>QB|17</x:v>
      </x:c>
      <x:c r="G599" s="28" t="n">
        <x:f>XLOOKUP(A599,'Assumptions'!$A$12:$A$15,'Assumptions'!$C$12:$C$15)</x:f>
        <x:v>290.6</x:v>
      </x:c>
      <x:c r="H599" s="28" t="n">
        <x:f>E599-G599</x:f>
        <x:v>-17.5</x:v>
      </x:c>
      <x:c r="I599" s="29" t="n">
        <x:v>0</x:v>
      </x:c>
      <x:c r="J599" s="28" t="n">
        <x:f>H599+I599</x:f>
        <x:v>-17.5</x:v>
      </x:c>
      <x:c r="K599" s="26" t="str">
        <x:v>Projection-only v1.0</x:v>
      </x:c>
      <x:c r="L599" s="26" t="n">
        <x:f>RANK.EQ(J599,$J$5:$J$619,0)</x:f>
        <x:v>134</x:v>
      </x:c>
      <x:c r="M599" s="26" t="str">
        <x:f>IF(I599=0,"PROJECTION ONLY","EDITORIAL ADJUSTMENT")</x:f>
        <x:v>PROJECTION ONLY</x:v>
      </x:c>
    </x:row>
    <x:row r="600">
      <x:c r="A600" s="26" t="str">
        <x:v>QB</x:v>
      </x:c>
      <x:c r="B600" s="26" t="n">
        <x:v>18</x:v>
      </x:c>
      <x:c r="C600" s="26" t="str">
        <x:v>Tyler Shough</x:v>
      </x:c>
      <x:c r="D600" s="26" t="str">
        <x:v>NO</x:v>
      </x:c>
      <x:c r="E600" s="28" t="n">
        <x:v>268.9</x:v>
      </x:c>
      <x:c r="F600" s="28" t="str">
        <x:v>QB|18</x:v>
      </x:c>
      <x:c r="G600" s="28" t="n">
        <x:f>XLOOKUP(A600,'Assumptions'!$A$12:$A$15,'Assumptions'!$C$12:$C$15)</x:f>
        <x:v>290.6</x:v>
      </x:c>
      <x:c r="H600" s="28" t="n">
        <x:f>E600-G600</x:f>
        <x:v>-21.700000000000045</x:v>
      </x:c>
      <x:c r="I600" s="29" t="n">
        <x:v>0</x:v>
      </x:c>
      <x:c r="J600" s="28" t="n">
        <x:f>H600+I600</x:f>
        <x:v>-21.700000000000045</x:v>
      </x:c>
      <x:c r="K600" s="26" t="str">
        <x:v>Projection-only v1.0</x:v>
      </x:c>
      <x:c r="L600" s="26" t="n">
        <x:f>RANK.EQ(J600,$J$5:$J$619,0)</x:f>
        <x:v>142</x:v>
      </x:c>
      <x:c r="M600" s="26" t="str">
        <x:f>IF(I600=0,"PROJECTION ONLY","EDITORIAL ADJUSTMENT")</x:f>
        <x:v>PROJECTION ONLY</x:v>
      </x:c>
    </x:row>
    <x:row r="601">
      <x:c r="A601" s="26" t="str">
        <x:v>QB</x:v>
      </x:c>
      <x:c r="B601" s="26" t="n">
        <x:v>19</x:v>
      </x:c>
      <x:c r="C601" s="26" t="str">
        <x:v>Jordan Love</x:v>
      </x:c>
      <x:c r="D601" s="26" t="str">
        <x:v>GB</x:v>
      </x:c>
      <x:c r="E601" s="28" t="n">
        <x:v>268.8</x:v>
      </x:c>
      <x:c r="F601" s="28" t="str">
        <x:v>QB|19</x:v>
      </x:c>
      <x:c r="G601" s="28" t="n">
        <x:f>XLOOKUP(A601,'Assumptions'!$A$12:$A$15,'Assumptions'!$C$12:$C$15)</x:f>
        <x:v>290.6</x:v>
      </x:c>
      <x:c r="H601" s="28" t="n">
        <x:f>E601-G601</x:f>
        <x:v>-21.80000000000001</x:v>
      </x:c>
      <x:c r="I601" s="29" t="n">
        <x:v>0</x:v>
      </x:c>
      <x:c r="J601" s="28" t="n">
        <x:f>H601+I601</x:f>
        <x:v>-21.80000000000001</x:v>
      </x:c>
      <x:c r="K601" s="26" t="str">
        <x:v>Projection-only v1.0</x:v>
      </x:c>
      <x:c r="L601" s="26" t="n">
        <x:f>RANK.EQ(J601,$J$5:$J$619,0)</x:f>
        <x:v>143</x:v>
      </x:c>
      <x:c r="M601" s="26" t="str">
        <x:f>IF(I601=0,"PROJECTION ONLY","EDITORIAL ADJUSTMENT")</x:f>
        <x:v>PROJECTION ONLY</x:v>
      </x:c>
    </x:row>
    <x:row r="602">
      <x:c r="A602" s="26" t="str">
        <x:v>QB</x:v>
      </x:c>
      <x:c r="B602" s="26" t="n">
        <x:v>20</x:v>
      </x:c>
      <x:c r="C602" s="26" t="str">
        <x:v>Kyler Murray</x:v>
      </x:c>
      <x:c r="D602" s="26" t="str">
        <x:v>MIN</x:v>
      </x:c>
      <x:c r="E602" s="28" t="n">
        <x:v>263.7</x:v>
      </x:c>
      <x:c r="F602" s="28" t="str">
        <x:v>QB|20</x:v>
      </x:c>
      <x:c r="G602" s="28" t="n">
        <x:f>XLOOKUP(A602,'Assumptions'!$A$12:$A$15,'Assumptions'!$C$12:$C$15)</x:f>
        <x:v>290.6</x:v>
      </x:c>
      <x:c r="H602" s="28" t="n">
        <x:f>E602-G602</x:f>
        <x:v>-26.900000000000034</x:v>
      </x:c>
      <x:c r="I602" s="29" t="n">
        <x:v>0</x:v>
      </x:c>
      <x:c r="J602" s="28" t="n">
        <x:f>H602+I602</x:f>
        <x:v>-26.900000000000034</x:v>
      </x:c>
      <x:c r="K602" s="26" t="str">
        <x:v>Projection-only v1.0</x:v>
      </x:c>
      <x:c r="L602" s="26" t="n">
        <x:f>RANK.EQ(J602,$J$5:$J$619,0)</x:f>
        <x:v>148</x:v>
      </x:c>
      <x:c r="M602" s="26" t="str">
        <x:f>IF(I602=0,"PROJECTION ONLY","EDITORIAL ADJUSTMENT")</x:f>
        <x:v>PROJECTION ONLY</x:v>
      </x:c>
    </x:row>
    <x:row r="603">
      <x:c r="A603" s="26" t="str">
        <x:v>QB</x:v>
      </x:c>
      <x:c r="B603" s="26" t="n">
        <x:v>21</x:v>
      </x:c>
      <x:c r="C603" s="26" t="str">
        <x:v>Malik Willis</x:v>
      </x:c>
      <x:c r="D603" s="26" t="str">
        <x:v>MIA</x:v>
      </x:c>
      <x:c r="E603" s="28" t="n">
        <x:v>259.4</x:v>
      </x:c>
      <x:c r="F603" s="28" t="str">
        <x:v>QB|21</x:v>
      </x:c>
      <x:c r="G603" s="28" t="n">
        <x:f>XLOOKUP(A603,'Assumptions'!$A$12:$A$15,'Assumptions'!$C$12:$C$15)</x:f>
        <x:v>290.6</x:v>
      </x:c>
      <x:c r="H603" s="28" t="n">
        <x:f>E603-G603</x:f>
        <x:v>-31.200000000000045</x:v>
      </x:c>
      <x:c r="I603" s="29" t="n">
        <x:v>0</x:v>
      </x:c>
      <x:c r="J603" s="28" t="n">
        <x:f>H603+I603</x:f>
        <x:v>-31.200000000000045</x:v>
      </x:c>
      <x:c r="K603" s="26" t="str">
        <x:v>Projection-only v1.0</x:v>
      </x:c>
      <x:c r="L603" s="26" t="n">
        <x:f>RANK.EQ(J603,$J$5:$J$619,0)</x:f>
        <x:v>159</x:v>
      </x:c>
      <x:c r="M603" s="26" t="str">
        <x:f>IF(I603=0,"PROJECTION ONLY","EDITORIAL ADJUSTMENT")</x:f>
        <x:v>PROJECTION ONLY</x:v>
      </x:c>
    </x:row>
    <x:row r="604">
      <x:c r="A604" s="26" t="str">
        <x:v>QB</x:v>
      </x:c>
      <x:c r="B604" s="26" t="n">
        <x:v>22</x:v>
      </x:c>
      <x:c r="C604" s="26" t="str">
        <x:v>C.J. Stroud</x:v>
      </x:c>
      <x:c r="D604" s="26" t="str">
        <x:v>HOU</x:v>
      </x:c>
      <x:c r="E604" s="28" t="n">
        <x:v>253.9</x:v>
      </x:c>
      <x:c r="F604" s="28" t="str">
        <x:v>QB|22</x:v>
      </x:c>
      <x:c r="G604" s="28" t="n">
        <x:f>XLOOKUP(A604,'Assumptions'!$A$12:$A$15,'Assumptions'!$C$12:$C$15)</x:f>
        <x:v>290.6</x:v>
      </x:c>
      <x:c r="H604" s="28" t="n">
        <x:f>E604-G604</x:f>
        <x:v>-36.70000000000002</x:v>
      </x:c>
      <x:c r="I604" s="29" t="n">
        <x:v>0</x:v>
      </x:c>
      <x:c r="J604" s="28" t="n">
        <x:f>H604+I604</x:f>
        <x:v>-36.70000000000002</x:v>
      </x:c>
      <x:c r="K604" s="26" t="str">
        <x:v>Projection-only v1.0</x:v>
      </x:c>
      <x:c r="L604" s="26" t="n">
        <x:f>RANK.EQ(J604,$J$5:$J$619,0)</x:f>
        <x:v>165</x:v>
      </x:c>
      <x:c r="M604" s="26" t="str">
        <x:f>IF(I604=0,"PROJECTION ONLY","EDITORIAL ADJUSTMENT")</x:f>
        <x:v>PROJECTION ONLY</x:v>
      </x:c>
    </x:row>
    <x:row r="605">
      <x:c r="A605" s="26" t="str">
        <x:v>QB</x:v>
      </x:c>
      <x:c r="B605" s="26" t="n">
        <x:v>23</x:v>
      </x:c>
      <x:c r="C605" s="26" t="str">
        <x:v>Daniel Jones</x:v>
      </x:c>
      <x:c r="D605" s="26" t="str">
        <x:v>IND</x:v>
      </x:c>
      <x:c r="E605" s="28" t="n">
        <x:v>250.5</x:v>
      </x:c>
      <x:c r="F605" s="28" t="str">
        <x:v>QB|23</x:v>
      </x:c>
      <x:c r="G605" s="28" t="n">
        <x:f>XLOOKUP(A605,'Assumptions'!$A$12:$A$15,'Assumptions'!$C$12:$C$15)</x:f>
        <x:v>290.6</x:v>
      </x:c>
      <x:c r="H605" s="28" t="n">
        <x:f>E605-G605</x:f>
        <x:v>-40.10000000000002</x:v>
      </x:c>
      <x:c r="I605" s="29" t="n">
        <x:v>0</x:v>
      </x:c>
      <x:c r="J605" s="28" t="n">
        <x:f>H605+I605</x:f>
        <x:v>-40.10000000000002</x:v>
      </x:c>
      <x:c r="K605" s="26" t="str">
        <x:v>Projection-only v1.0</x:v>
      </x:c>
      <x:c r="L605" s="26" t="n">
        <x:f>RANK.EQ(J605,$J$5:$J$619,0)</x:f>
        <x:v>172</x:v>
      </x:c>
      <x:c r="M605" s="26" t="str">
        <x:f>IF(I605=0,"PROJECTION ONLY","EDITORIAL ADJUSTMENT")</x:f>
        <x:v>PROJECTION ONLY</x:v>
      </x:c>
    </x:row>
    <x:row r="606">
      <x:c r="A606" s="26" t="str">
        <x:v>QB</x:v>
      </x:c>
      <x:c r="B606" s="26" t="n">
        <x:v>24</x:v>
      </x:c>
      <x:c r="C606" s="26" t="str">
        <x:v>Cam Ward</x:v>
      </x:c>
      <x:c r="D606" s="26" t="str">
        <x:v>TEN</x:v>
      </x:c>
      <x:c r="E606" s="28" t="n">
        <x:v>246.1</x:v>
      </x:c>
      <x:c r="F606" s="28" t="str">
        <x:v>QB|24</x:v>
      </x:c>
      <x:c r="G606" s="28" t="n">
        <x:f>XLOOKUP(A606,'Assumptions'!$A$12:$A$15,'Assumptions'!$C$12:$C$15)</x:f>
        <x:v>290.6</x:v>
      </x:c>
      <x:c r="H606" s="28" t="n">
        <x:f>E606-G606</x:f>
        <x:v>-44.50000000000003</x:v>
      </x:c>
      <x:c r="I606" s="29" t="n">
        <x:v>0</x:v>
      </x:c>
      <x:c r="J606" s="28" t="n">
        <x:f>H606+I606</x:f>
        <x:v>-44.50000000000003</x:v>
      </x:c>
      <x:c r="K606" s="26" t="str">
        <x:v>Projection-only v1.0</x:v>
      </x:c>
      <x:c r="L606" s="26" t="n">
        <x:f>RANK.EQ(J606,$J$5:$J$619,0)</x:f>
        <x:v>184</x:v>
      </x:c>
      <x:c r="M606" s="26" t="str">
        <x:f>IF(I606=0,"PROJECTION ONLY","EDITORIAL ADJUSTMENT")</x:f>
        <x:v>PROJECTION ONLY</x:v>
      </x:c>
    </x:row>
    <x:row r="607">
      <x:c r="A607" s="26" t="str">
        <x:v>QB</x:v>
      </x:c>
      <x:c r="B607" s="26" t="n">
        <x:v>25</x:v>
      </x:c>
      <x:c r="C607" s="26" t="str">
        <x:v>Sam Darnold</x:v>
      </x:c>
      <x:c r="D607" s="26" t="str">
        <x:v>SEA</x:v>
      </x:c>
      <x:c r="E607" s="28" t="n">
        <x:v>245.1</x:v>
      </x:c>
      <x:c r="F607" s="28" t="str">
        <x:v>QB|25</x:v>
      </x:c>
      <x:c r="G607" s="28" t="n">
        <x:f>XLOOKUP(A607,'Assumptions'!$A$12:$A$15,'Assumptions'!$C$12:$C$15)</x:f>
        <x:v>290.6</x:v>
      </x:c>
      <x:c r="H607" s="28" t="n">
        <x:f>E607-G607</x:f>
        <x:v>-45.50000000000003</x:v>
      </x:c>
      <x:c r="I607" s="29" t="n">
        <x:v>0</x:v>
      </x:c>
      <x:c r="J607" s="28" t="n">
        <x:f>H607+I607</x:f>
        <x:v>-45.50000000000003</x:v>
      </x:c>
      <x:c r="K607" s="26" t="str">
        <x:v>Projection-only v1.0</x:v>
      </x:c>
      <x:c r="L607" s="26" t="n">
        <x:f>RANK.EQ(J607,$J$5:$J$619,0)</x:f>
        <x:v>185</x:v>
      </x:c>
      <x:c r="M607" s="26" t="str">
        <x:f>IF(I607=0,"PROJECTION ONLY","EDITORIAL ADJUSTMENT")</x:f>
        <x:v>PROJECTION ONLY</x:v>
      </x:c>
    </x:row>
    <x:row r="608">
      <x:c r="A608" s="26" t="str">
        <x:v>QB</x:v>
      </x:c>
      <x:c r="B608" s="26" t="n">
        <x:v>26</x:v>
      </x:c>
      <x:c r="C608" s="26" t="str">
        <x:v>Aaron Rodgers</x:v>
      </x:c>
      <x:c r="D608" s="26" t="str">
        <x:v>PIT</x:v>
      </x:c>
      <x:c r="E608" s="28" t="n">
        <x:v>226.6</x:v>
      </x:c>
      <x:c r="F608" s="28" t="str">
        <x:v>QB|26</x:v>
      </x:c>
      <x:c r="G608" s="28" t="n">
        <x:f>XLOOKUP(A608,'Assumptions'!$A$12:$A$15,'Assumptions'!$C$12:$C$15)</x:f>
        <x:v>290.6</x:v>
      </x:c>
      <x:c r="H608" s="28" t="n">
        <x:f>E608-G608</x:f>
        <x:v>-64.00000000000003</x:v>
      </x:c>
      <x:c r="I608" s="29" t="n">
        <x:v>0</x:v>
      </x:c>
      <x:c r="J608" s="28" t="n">
        <x:f>H608+I608</x:f>
        <x:v>-64.00000000000003</x:v>
      </x:c>
      <x:c r="K608" s="26" t="str">
        <x:v>Projection-only v1.0</x:v>
      </x:c>
      <x:c r="L608" s="26" t="n">
        <x:f>RANK.EQ(J608,$J$5:$J$619,0)</x:f>
        <x:v>229</x:v>
      </x:c>
      <x:c r="M608" s="26" t="str">
        <x:f>IF(I608=0,"PROJECTION ONLY","EDITORIAL ADJUSTMENT")</x:f>
        <x:v>PROJECTION ONLY</x:v>
      </x:c>
    </x:row>
    <x:row r="609">
      <x:c r="A609" s="26" t="str">
        <x:v>QB</x:v>
      </x:c>
      <x:c r="B609" s="26" t="n">
        <x:v>27</x:v>
      </x:c>
      <x:c r="C609" s="26" t="str">
        <x:v>Bryce Young</x:v>
      </x:c>
      <x:c r="D609" s="26" t="str">
        <x:v>CAR</x:v>
      </x:c>
      <x:c r="E609" s="28" t="n">
        <x:v>226</x:v>
      </x:c>
      <x:c r="F609" s="28" t="str">
        <x:v>QB|27</x:v>
      </x:c>
      <x:c r="G609" s="28" t="n">
        <x:f>XLOOKUP(A609,'Assumptions'!$A$12:$A$15,'Assumptions'!$C$12:$C$15)</x:f>
        <x:v>290.6</x:v>
      </x:c>
      <x:c r="H609" s="28" t="n">
        <x:f>E609-G609</x:f>
        <x:v>-64.60000000000002</x:v>
      </x:c>
      <x:c r="I609" s="29" t="n">
        <x:v>0</x:v>
      </x:c>
      <x:c r="J609" s="28" t="n">
        <x:f>H609+I609</x:f>
        <x:v>-64.60000000000002</x:v>
      </x:c>
      <x:c r="K609" s="26" t="str">
        <x:v>Projection-only v1.0</x:v>
      </x:c>
      <x:c r="L609" s="26" t="n">
        <x:f>RANK.EQ(J609,$J$5:$J$619,0)</x:f>
        <x:v>234</x:v>
      </x:c>
      <x:c r="M609" s="26" t="str">
        <x:f>IF(I609=0,"PROJECTION ONLY","EDITORIAL ADJUSTMENT")</x:f>
        <x:v>PROJECTION ONLY</x:v>
      </x:c>
    </x:row>
    <x:row r="610">
      <x:c r="A610" s="26" t="str">
        <x:v>QB</x:v>
      </x:c>
      <x:c r="B610" s="26" t="n">
        <x:v>28</x:v>
      </x:c>
      <x:c r="C610" s="26" t="str">
        <x:v>Geno Smith</x:v>
      </x:c>
      <x:c r="D610" s="26" t="str">
        <x:v>NYJ</x:v>
      </x:c>
      <x:c r="E610" s="28" t="n">
        <x:v>216.8</x:v>
      </x:c>
      <x:c r="F610" s="28" t="str">
        <x:v>QB|28</x:v>
      </x:c>
      <x:c r="G610" s="28" t="n">
        <x:f>XLOOKUP(A610,'Assumptions'!$A$12:$A$15,'Assumptions'!$C$12:$C$15)</x:f>
        <x:v>290.6</x:v>
      </x:c>
      <x:c r="H610" s="28" t="n">
        <x:f>E610-G610</x:f>
        <x:v>-73.80000000000001</x:v>
      </x:c>
      <x:c r="I610" s="29" t="n">
        <x:v>0</x:v>
      </x:c>
      <x:c r="J610" s="28" t="n">
        <x:f>H610+I610</x:f>
        <x:v>-73.80000000000001</x:v>
      </x:c>
      <x:c r="K610" s="26" t="str">
        <x:v>Projection-only v1.0</x:v>
      </x:c>
      <x:c r="L610" s="26" t="n">
        <x:f>RANK.EQ(J610,$J$5:$J$619,0)</x:f>
        <x:v>251</x:v>
      </x:c>
      <x:c r="M610" s="26" t="str">
        <x:f>IF(I610=0,"PROJECTION ONLY","EDITORIAL ADJUSTMENT")</x:f>
        <x:v>PROJECTION ONLY</x:v>
      </x:c>
    </x:row>
    <x:row r="611">
      <x:c r="A611" s="26" t="str">
        <x:v>QB</x:v>
      </x:c>
      <x:c r="B611" s="26" t="n">
        <x:v>29</x:v>
      </x:c>
      <x:c r="C611" s="26" t="str">
        <x:v>Kirk Cousins</x:v>
      </x:c>
      <x:c r="D611" s="26" t="str">
        <x:v>LV</x:v>
      </x:c>
      <x:c r="E611" s="28" t="n">
        <x:v>190.1</x:v>
      </x:c>
      <x:c r="F611" s="28" t="str">
        <x:v>QB|29</x:v>
      </x:c>
      <x:c r="G611" s="28" t="n">
        <x:f>XLOOKUP(A611,'Assumptions'!$A$12:$A$15,'Assumptions'!$C$12:$C$15)</x:f>
        <x:v>290.6</x:v>
      </x:c>
      <x:c r="H611" s="28" t="n">
        <x:f>E611-G611</x:f>
        <x:v>-100.50000000000003</x:v>
      </x:c>
      <x:c r="I611" s="29" t="n">
        <x:v>0</x:v>
      </x:c>
      <x:c r="J611" s="28" t="n">
        <x:f>H611+I611</x:f>
        <x:v>-100.50000000000003</x:v>
      </x:c>
      <x:c r="K611" s="26" t="str">
        <x:v>Projection-only v1.0</x:v>
      </x:c>
      <x:c r="L611" s="26" t="n">
        <x:f>RANK.EQ(J611,$J$5:$J$619,0)</x:f>
        <x:v>325</x:v>
      </x:c>
      <x:c r="M611" s="26" t="str">
        <x:f>IF(I611=0,"PROJECTION ONLY","EDITORIAL ADJUSTMENT")</x:f>
        <x:v>PROJECTION ONLY</x:v>
      </x:c>
    </x:row>
    <x:row r="612">
      <x:c r="A612" s="26" t="str">
        <x:v>QB</x:v>
      </x:c>
      <x:c r="B612" s="26" t="n">
        <x:v>30</x:v>
      </x:c>
      <x:c r="C612" s="26" t="str">
        <x:v>Tua Tagovailoa</x:v>
      </x:c>
      <x:c r="D612" s="26" t="str">
        <x:v>ATL</x:v>
      </x:c>
      <x:c r="E612" s="28" t="n">
        <x:v>168.2</x:v>
      </x:c>
      <x:c r="F612" s="28" t="str">
        <x:v>QB|30</x:v>
      </x:c>
      <x:c r="G612" s="28" t="n">
        <x:f>XLOOKUP(A612,'Assumptions'!$A$12:$A$15,'Assumptions'!$C$12:$C$15)</x:f>
        <x:v>290.6</x:v>
      </x:c>
      <x:c r="H612" s="28" t="n">
        <x:f>E612-G612</x:f>
        <x:v>-122.40000000000003</x:v>
      </x:c>
      <x:c r="I612" s="29" t="n">
        <x:v>0</x:v>
      </x:c>
      <x:c r="J612" s="28" t="n">
        <x:f>H612+I612</x:f>
        <x:v>-122.40000000000003</x:v>
      </x:c>
      <x:c r="K612" s="26" t="str">
        <x:v>Projection-only v1.0</x:v>
      </x:c>
      <x:c r="L612" s="26" t="n">
        <x:f>RANK.EQ(J612,$J$5:$J$619,0)</x:f>
        <x:v>484</x:v>
      </x:c>
      <x:c r="M612" s="26" t="str">
        <x:f>IF(I612=0,"PROJECTION ONLY","EDITORIAL ADJUSTMENT")</x:f>
        <x:v>PROJECTION ONLY</x:v>
      </x:c>
    </x:row>
    <x:row r="613">
      <x:c r="A613" s="26" t="str">
        <x:v>QB</x:v>
      </x:c>
      <x:c r="B613" s="26" t="n">
        <x:v>31</x:v>
      </x:c>
      <x:c r="C613" s="26" t="str">
        <x:v>Jacoby Brissett</x:v>
      </x:c>
      <x:c r="D613" s="26" t="str">
        <x:v>ARI</x:v>
      </x:c>
      <x:c r="E613" s="28" t="n">
        <x:v>155</x:v>
      </x:c>
      <x:c r="F613" s="28" t="str">
        <x:v>QB|31</x:v>
      </x:c>
      <x:c r="G613" s="28" t="n">
        <x:f>XLOOKUP(A613,'Assumptions'!$A$12:$A$15,'Assumptions'!$C$12:$C$15)</x:f>
        <x:v>290.6</x:v>
      </x:c>
      <x:c r="H613" s="28" t="n">
        <x:f>E613-G613</x:f>
        <x:v>-135.60000000000002</x:v>
      </x:c>
      <x:c r="I613" s="29" t="n">
        <x:v>0</x:v>
      </x:c>
      <x:c r="J613" s="28" t="n">
        <x:f>H613+I613</x:f>
        <x:v>-135.60000000000002</x:v>
      </x:c>
      <x:c r="K613" s="26" t="str">
        <x:v>Projection-only v1.0</x:v>
      </x:c>
      <x:c r="L613" s="26" t="n">
        <x:f>RANK.EQ(J613,$J$5:$J$619,0)</x:f>
        <x:v>534</x:v>
      </x:c>
      <x:c r="M613" s="26" t="str">
        <x:f>IF(I613=0,"PROJECTION ONLY","EDITORIAL ADJUSTMENT")</x:f>
        <x:v>PROJECTION ONLY</x:v>
      </x:c>
    </x:row>
    <x:row r="614">
      <x:c r="A614" s="26" t="str">
        <x:v>QB</x:v>
      </x:c>
      <x:c r="B614" s="26" t="n">
        <x:v>32</x:v>
      </x:c>
      <x:c r="C614" s="26" t="str">
        <x:v>Shedeur Sanders</x:v>
      </x:c>
      <x:c r="D614" s="26" t="str">
        <x:v>CLE</x:v>
      </x:c>
      <x:c r="E614" s="28" t="n">
        <x:v>115.1</x:v>
      </x:c>
      <x:c r="F614" s="28" t="str">
        <x:v>QB|32</x:v>
      </x:c>
      <x:c r="G614" s="28" t="n">
        <x:f>XLOOKUP(A614,'Assumptions'!$A$12:$A$15,'Assumptions'!$C$12:$C$15)</x:f>
        <x:v>290.6</x:v>
      </x:c>
      <x:c r="H614" s="28" t="n">
        <x:f>E614-G614</x:f>
        <x:v>-175.50000000000003</x:v>
      </x:c>
      <x:c r="I614" s="29" t="n">
        <x:v>0</x:v>
      </x:c>
      <x:c r="J614" s="28" t="n">
        <x:f>H614+I614</x:f>
        <x:v>-175.50000000000003</x:v>
      </x:c>
      <x:c r="K614" s="26" t="str">
        <x:v>Projection-only v1.0</x:v>
      </x:c>
      <x:c r="L614" s="26" t="n">
        <x:f>RANK.EQ(J614,$J$5:$J$619,0)</x:f>
        <x:v>610</x:v>
      </x:c>
      <x:c r="M614" s="26" t="str">
        <x:f>IF(I614=0,"PROJECTION ONLY","EDITORIAL ADJUSTMENT")</x:f>
        <x:v>PROJECTION ONLY</x:v>
      </x:c>
    </x:row>
    <x:row r="615">
      <x:c r="A615" s="26" t="str">
        <x:v>QB</x:v>
      </x:c>
      <x:c r="B615" s="26" t="n">
        <x:v>33</x:v>
      </x:c>
      <x:c r="C615" s="26" t="str">
        <x:v>Deshaun Watson</x:v>
      </x:c>
      <x:c r="D615" s="26" t="str">
        <x:v>CLE</x:v>
      </x:c>
      <x:c r="E615" s="28" t="n">
        <x:v>107.4</x:v>
      </x:c>
      <x:c r="F615" s="28" t="str">
        <x:v>QB|33</x:v>
      </x:c>
      <x:c r="G615" s="28" t="n">
        <x:f>XLOOKUP(A615,'Assumptions'!$A$12:$A$15,'Assumptions'!$C$12:$C$15)</x:f>
        <x:v>290.6</x:v>
      </x:c>
      <x:c r="H615" s="28" t="n">
        <x:f>E615-G615</x:f>
        <x:v>-183.20000000000002</x:v>
      </x:c>
      <x:c r="I615" s="29" t="n">
        <x:v>0</x:v>
      </x:c>
      <x:c r="J615" s="28" t="n">
        <x:f>H615+I615</x:f>
        <x:v>-183.20000000000002</x:v>
      </x:c>
      <x:c r="K615" s="26" t="str">
        <x:v>Projection-only v1.0</x:v>
      </x:c>
      <x:c r="L615" s="26" t="n">
        <x:f>RANK.EQ(J615,$J$5:$J$619,0)</x:f>
        <x:v>611</x:v>
      </x:c>
      <x:c r="M615" s="26" t="str">
        <x:f>IF(I615=0,"PROJECTION ONLY","EDITORIAL ADJUSTMENT")</x:f>
        <x:v>PROJECTION ONLY</x:v>
      </x:c>
    </x:row>
    <x:row r="616">
      <x:c r="A616" s="26" t="str">
        <x:v>QB</x:v>
      </x:c>
      <x:c r="B616" s="26" t="n">
        <x:v>34</x:v>
      </x:c>
      <x:c r="C616" s="26" t="str">
        <x:v>Carson Beck</x:v>
      </x:c>
      <x:c r="D616" s="26" t="str">
        <x:v>ARI</x:v>
      </x:c>
      <x:c r="E616" s="28" t="n">
        <x:v>102.8</x:v>
      </x:c>
      <x:c r="F616" s="28" t="str">
        <x:v>QB|34</x:v>
      </x:c>
      <x:c r="G616" s="28" t="n">
        <x:f>XLOOKUP(A616,'Assumptions'!$A$12:$A$15,'Assumptions'!$C$12:$C$15)</x:f>
        <x:v>290.6</x:v>
      </x:c>
      <x:c r="H616" s="28" t="n">
        <x:f>E616-G616</x:f>
        <x:v>-187.8</x:v>
      </x:c>
      <x:c r="I616" s="29" t="n">
        <x:v>0</x:v>
      </x:c>
      <x:c r="J616" s="28" t="n">
        <x:f>H616+I616</x:f>
        <x:v>-187.8</x:v>
      </x:c>
      <x:c r="K616" s="26" t="str">
        <x:v>Projection-only v1.0</x:v>
      </x:c>
      <x:c r="L616" s="26" t="n">
        <x:f>RANK.EQ(J616,$J$5:$J$619,0)</x:f>
        <x:v>612</x:v>
      </x:c>
      <x:c r="M616" s="26" t="str">
        <x:f>IF(I616=0,"PROJECTION ONLY","EDITORIAL ADJUSTMENT")</x:f>
        <x:v>PROJECTION ONLY</x:v>
      </x:c>
    </x:row>
    <x:row r="617">
      <x:c r="A617" s="26" t="str">
        <x:v>QB</x:v>
      </x:c>
      <x:c r="B617" s="26" t="n">
        <x:v>35</x:v>
      </x:c>
      <x:c r="C617" s="26" t="str">
        <x:v>Michael Penix Jr.</x:v>
      </x:c>
      <x:c r="D617" s="26" t="str">
        <x:v>ATL</x:v>
      </x:c>
      <x:c r="E617" s="28" t="n">
        <x:v>67.4</x:v>
      </x:c>
      <x:c r="F617" s="28" t="str">
        <x:v>QB|35</x:v>
      </x:c>
      <x:c r="G617" s="28" t="n">
        <x:f>XLOOKUP(A617,'Assumptions'!$A$12:$A$15,'Assumptions'!$C$12:$C$15)</x:f>
        <x:v>290.6</x:v>
      </x:c>
      <x:c r="H617" s="28" t="n">
        <x:f>E617-G617</x:f>
        <x:v>-223.20000000000002</x:v>
      </x:c>
      <x:c r="I617" s="29" t="n">
        <x:v>0</x:v>
      </x:c>
      <x:c r="J617" s="28" t="n">
        <x:f>H617+I617</x:f>
        <x:v>-223.20000000000002</x:v>
      </x:c>
      <x:c r="K617" s="26" t="str">
        <x:v>Projection-only v1.0</x:v>
      </x:c>
      <x:c r="L617" s="26" t="n">
        <x:f>RANK.EQ(J617,$J$5:$J$619,0)</x:f>
        <x:v>613</x:v>
      </x:c>
      <x:c r="M617" s="26" t="str">
        <x:f>IF(I617=0,"PROJECTION ONLY","EDITORIAL ADJUSTMENT")</x:f>
        <x:v>PROJECTION ONLY</x:v>
      </x:c>
    </x:row>
    <x:row r="618">
      <x:c r="A618" s="26" t="str">
        <x:v>QB</x:v>
      </x:c>
      <x:c r="B618" s="26" t="n">
        <x:v>36</x:v>
      </x:c>
      <x:c r="C618" s="26" t="str">
        <x:v>Fernando Mendoza</x:v>
      </x:c>
      <x:c r="D618" s="26" t="str">
        <x:v>LV</x:v>
      </x:c>
      <x:c r="E618" s="28" t="n">
        <x:v>48</x:v>
      </x:c>
      <x:c r="F618" s="28" t="str">
        <x:v>QB|36</x:v>
      </x:c>
      <x:c r="G618" s="28" t="n">
        <x:f>XLOOKUP(A618,'Assumptions'!$A$12:$A$15,'Assumptions'!$C$12:$C$15)</x:f>
        <x:v>290.6</x:v>
      </x:c>
      <x:c r="H618" s="28" t="n">
        <x:f>E618-G618</x:f>
        <x:v>-242.60000000000002</x:v>
      </x:c>
      <x:c r="I618" s="29" t="n">
        <x:v>0</x:v>
      </x:c>
      <x:c r="J618" s="28" t="n">
        <x:f>H618+I618</x:f>
        <x:v>-242.60000000000002</x:v>
      </x:c>
      <x:c r="K618" s="26" t="str">
        <x:v>Projection-only v1.0</x:v>
      </x:c>
      <x:c r="L618" s="26" t="n">
        <x:f>RANK.EQ(J618,$J$5:$J$619,0)</x:f>
        <x:v>614</x:v>
      </x:c>
      <x:c r="M618" s="26" t="str">
        <x:f>IF(I618=0,"PROJECTION ONLY","EDITORIAL ADJUSTMENT")</x:f>
        <x:v>PROJECTION ONLY</x:v>
      </x:c>
    </x:row>
    <x:row r="619">
      <x:c r="A619" s="26" t="str">
        <x:v>QB</x:v>
      </x:c>
      <x:c r="B619" s="26" t="n">
        <x:v>37</x:v>
      </x:c>
      <x:c r="C619" s="26" t="str">
        <x:v>J.J. McCarthy</x:v>
      </x:c>
      <x:c r="D619" s="26" t="str">
        <x:v>MIN</x:v>
      </x:c>
      <x:c r="E619" s="28" t="n">
        <x:v>27.3</x:v>
      </x:c>
      <x:c r="F619" s="28" t="str">
        <x:v>QB|37</x:v>
      </x:c>
      <x:c r="G619" s="28" t="n">
        <x:f>XLOOKUP(A619,'Assumptions'!$A$12:$A$15,'Assumptions'!$C$12:$C$15)</x:f>
        <x:v>290.6</x:v>
      </x:c>
      <x:c r="H619" s="28" t="n">
        <x:f>E619-G619</x:f>
        <x:v>-263.3</x:v>
      </x:c>
      <x:c r="I619" s="29" t="n">
        <x:v>0</x:v>
      </x:c>
      <x:c r="J619" s="28" t="n">
        <x:f>H619+I619</x:f>
        <x:v>-263.3</x:v>
      </x:c>
      <x:c r="K619" s="26" t="str">
        <x:v>Projection-only v1.0</x:v>
      </x:c>
      <x:c r="L619" s="26" t="n">
        <x:f>RANK.EQ(J619,$J$5:$J$619,0)</x:f>
        <x:v>615</x:v>
      </x:c>
      <x:c r="M619" s="26" t="str">
        <x:f>IF(I619=0,"PROJECTION ONLY","EDITORIAL ADJUSTMENT")</x:f>
        <x:v>PROJECTION ONLY</x:v>
      </x:c>
    </x:row>
  </x:sheetData>
  <x:mergeCells>
    <x:mergeCell ref="A1:M1"/>
    <x:mergeCell ref="A2:M2"/>
  </x:mergeCells>
  <x:conditionalFormatting sqref="M5:M619">
    <x:cfRule type="containsText" dxfId="0" priority="1" operator="containsText" text="EDITORIA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5" hidden="0" customWidth="1"/>
  </x:cols>
  <x:sheetData>
    <x:row r="1" ht="34" customHeight="1">
      <x:c r="A1" s="3" t="str">
        <x:v>SITE EXPORT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Coder-ready flattened data for /nfl/rankings/. Sort order is the published Half-PPR Top 200.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4" customHeight="1">
      <x:c r="A4" s="25" t="str">
        <x:v>scoring_format</x:v>
      </x:c>
      <x:c r="B4" s="25" t="str">
        <x:v>overall_rank</x:v>
      </x:c>
      <x:c r="C4" s="25" t="str">
        <x:v>overall_tier</x:v>
      </x:c>
      <x:c r="D4" s="25" t="str">
        <x:v>position_rank</x:v>
      </x:c>
      <x:c r="E4" s="25" t="str">
        <x:v>position_tier</x:v>
      </x:c>
      <x:c r="F4" s="25" t="str">
        <x:v>player_name</x:v>
      </x:c>
      <x:c r="G4" s="25" t="str">
        <x:v>team</x:v>
      </x:c>
      <x:c r="H4" s="25" t="str">
        <x:v>position</x:v>
      </x:c>
      <x:c r="I4" s="25" t="str">
        <x:v>projected_points</x:v>
      </x:c>
      <x:c r="J4" s="25" t="str">
        <x:v>replacement_points</x:v>
      </x:c>
      <x:c r="K4" s="25" t="str">
        <x:v>vorp</x:v>
      </x:c>
      <x:c r="L4" s="25" t="str">
        <x:v>manual_adjustment</x:v>
      </x:c>
      <x:c r="M4" s="25" t="str">
        <x:v>ranking_score</x:v>
      </x:c>
      <x:c r="N4" s="25" t="str">
        <x:v>adp</x:v>
      </x:c>
      <x:c r="O4" s="25" t="str">
        <x:v>value_label</x:v>
      </x:c>
      <x:c r="P4" s="25" t="str">
        <x:v>adjustment_reason</x:v>
      </x:c>
    </x:row>
    <x:row r="5">
      <x:c r="A5" s="26" t="str">
        <x:v>half_ppr</x:v>
      </x:c>
      <x:c r="B5" s="26" t="n">
        <x:v>1</x:v>
      </x:c>
      <x:c r="C5" s="26" t="n">
        <x:v>1</x:v>
      </x:c>
      <x:c r="D5" s="26" t="n">
        <x:v>1</x:v>
      </x:c>
      <x:c r="E5" s="26" t="n">
        <x:v>1</x:v>
      </x:c>
      <x:c r="F5" s="26" t="str">
        <x:v>Jahmyr Gibbs</x:v>
      </x:c>
      <x:c r="G5" s="26" t="str">
        <x:v>DET</x:v>
      </x:c>
      <x:c r="H5" s="26" t="str">
        <x:v>RB</x:v>
      </x:c>
      <x:c r="I5" s="28" t="n">
        <x:v>332.2</x:v>
      </x:c>
      <x:c r="J5" s="28" t="n">
        <x:v>124.5</x:v>
      </x:c>
      <x:c r="K5" s="28" t="n">
        <x:v>207.7</x:v>
      </x:c>
      <x:c r="L5" s="28" t="n">
        <x:v>0</x:v>
      </x:c>
      <x:c r="M5" s="28" t="n">
        <x:v>207.7</x:v>
      </x:c>
      <x:c r="N5" s="28"/>
      <x:c r="O5" s="26" t="str">
        <x:v>ADP_NOT_LOADED</x:v>
      </x:c>
      <x:c r="P5" s="26" t="str">
        <x:v>Projection-only v1.0</x:v>
      </x:c>
    </x:row>
    <x:row r="6">
      <x:c r="A6" s="26" t="str">
        <x:v>half_ppr</x:v>
      </x:c>
      <x:c r="B6" s="26" t="n">
        <x:v>2</x:v>
      </x:c>
      <x:c r="C6" s="26" t="n">
        <x:v>1</x:v>
      </x:c>
      <x:c r="D6" s="26" t="n">
        <x:v>2</x:v>
      </x:c>
      <x:c r="E6" s="26" t="n">
        <x:v>1</x:v>
      </x:c>
      <x:c r="F6" s="26" t="str">
        <x:v>Bijan Robinson</x:v>
      </x:c>
      <x:c r="G6" s="26" t="str">
        <x:v>ATL</x:v>
      </x:c>
      <x:c r="H6" s="26" t="str">
        <x:v>RB</x:v>
      </x:c>
      <x:c r="I6" s="28" t="n">
        <x:v>326.4</x:v>
      </x:c>
      <x:c r="J6" s="28" t="n">
        <x:v>124.5</x:v>
      </x:c>
      <x:c r="K6" s="28" t="n">
        <x:v>201.89999999999998</x:v>
      </x:c>
      <x:c r="L6" s="28" t="n">
        <x:v>0</x:v>
      </x:c>
      <x:c r="M6" s="28" t="n">
        <x:v>201.89999999999998</x:v>
      </x:c>
      <x:c r="N6" s="28"/>
      <x:c r="O6" s="26" t="str">
        <x:v>ADP_NOT_LOADED</x:v>
      </x:c>
      <x:c r="P6" s="26" t="str">
        <x:v>Projection-only v1.0</x:v>
      </x:c>
    </x:row>
    <x:row r="7">
      <x:c r="A7" s="26" t="str">
        <x:v>half_ppr</x:v>
      </x:c>
      <x:c r="B7" s="26" t="n">
        <x:v>3</x:v>
      </x:c>
      <x:c r="C7" s="26" t="n">
        <x:v>1</x:v>
      </x:c>
      <x:c r="D7" s="26" t="n">
        <x:v>1</x:v>
      </x:c>
      <x:c r="E7" s="26" t="n">
        <x:v>1</x:v>
      </x:c>
      <x:c r="F7" s="26" t="str">
        <x:v>Puka Nacua</x:v>
      </x:c>
      <x:c r="G7" s="26" t="str">
        <x:v>LAR</x:v>
      </x:c>
      <x:c r="H7" s="26" t="str">
        <x:v>WR</x:v>
      </x:c>
      <x:c r="I7" s="28" t="n">
        <x:v>283.4</x:v>
      </x:c>
      <x:c r="J7" s="28" t="n">
        <x:v>110.6</x:v>
      </x:c>
      <x:c r="K7" s="28" t="n">
        <x:v>172.79999999999998</x:v>
      </x:c>
      <x:c r="L7" s="28" t="n">
        <x:v>0</x:v>
      </x:c>
      <x:c r="M7" s="28" t="n">
        <x:v>172.79999999999998</x:v>
      </x:c>
      <x:c r="N7" s="28"/>
      <x:c r="O7" s="26" t="str">
        <x:v>ADP_NOT_LOADED</x:v>
      </x:c>
      <x:c r="P7" s="26" t="str">
        <x:v>Projection-only v1.0</x:v>
      </x:c>
    </x:row>
    <x:row r="8">
      <x:c r="A8" s="26" t="str">
        <x:v>half_ppr</x:v>
      </x:c>
      <x:c r="B8" s="26" t="n">
        <x:v>4</x:v>
      </x:c>
      <x:c r="C8" s="26" t="n">
        <x:v>1</x:v>
      </x:c>
      <x:c r="D8" s="26" t="n">
        <x:v>2</x:v>
      </x:c>
      <x:c r="E8" s="26" t="n">
        <x:v>1</x:v>
      </x:c>
      <x:c r="F8" s="26" t="str">
        <x:v>Ja'Marr Chase</x:v>
      </x:c>
      <x:c r="G8" s="26" t="str">
        <x:v>CIN</x:v>
      </x:c>
      <x:c r="H8" s="26" t="str">
        <x:v>WR</x:v>
      </x:c>
      <x:c r="I8" s="28" t="n">
        <x:v>279.4</x:v>
      </x:c>
      <x:c r="J8" s="28" t="n">
        <x:v>110.6</x:v>
      </x:c>
      <x:c r="K8" s="28" t="n">
        <x:v>168.79999999999998</x:v>
      </x:c>
      <x:c r="L8" s="28" t="n">
        <x:v>0</x:v>
      </x:c>
      <x:c r="M8" s="28" t="n">
        <x:v>168.79999999999998</x:v>
      </x:c>
      <x:c r="N8" s="28"/>
      <x:c r="O8" s="26" t="str">
        <x:v>ADP_NOT_LOADED</x:v>
      </x:c>
      <x:c r="P8" s="26" t="str">
        <x:v>Projection-only v1.0</x:v>
      </x:c>
    </x:row>
    <x:row r="9">
      <x:c r="A9" s="26" t="str">
        <x:v>half_ppr</x:v>
      </x:c>
      <x:c r="B9" s="26" t="n">
        <x:v>5</x:v>
      </x:c>
      <x:c r="C9" s="26" t="n">
        <x:v>1</x:v>
      </x:c>
      <x:c r="D9" s="26" t="n">
        <x:v>3</x:v>
      </x:c>
      <x:c r="E9" s="26" t="n">
        <x:v>1</x:v>
      </x:c>
      <x:c r="F9" s="26" t="str">
        <x:v>Christian McCaffrey</x:v>
      </x:c>
      <x:c r="G9" s="26" t="str">
        <x:v>SF</x:v>
      </x:c>
      <x:c r="H9" s="26" t="str">
        <x:v>RB</x:v>
      </x:c>
      <x:c r="I9" s="28" t="n">
        <x:v>288.1</x:v>
      </x:c>
      <x:c r="J9" s="28" t="n">
        <x:v>124.5</x:v>
      </x:c>
      <x:c r="K9" s="28" t="n">
        <x:v>163.60000000000002</x:v>
      </x:c>
      <x:c r="L9" s="28" t="n">
        <x:v>0</x:v>
      </x:c>
      <x:c r="M9" s="28" t="n">
        <x:v>163.60000000000002</x:v>
      </x:c>
      <x:c r="N9" s="28"/>
      <x:c r="O9" s="26" t="str">
        <x:v>ADP_NOT_LOADED</x:v>
      </x:c>
      <x:c r="P9" s="26" t="str">
        <x:v>Projection-only v1.0</x:v>
      </x:c>
    </x:row>
    <x:row r="10">
      <x:c r="A10" s="26" t="str">
        <x:v>half_ppr</x:v>
      </x:c>
      <x:c r="B10" s="26" t="n">
        <x:v>6</x:v>
      </x:c>
      <x:c r="C10" s="26" t="n">
        <x:v>1</x:v>
      </x:c>
      <x:c r="D10" s="26" t="n">
        <x:v>4</x:v>
      </x:c>
      <x:c r="E10" s="26" t="n">
        <x:v>1</x:v>
      </x:c>
      <x:c r="F10" s="26" t="str">
        <x:v>Jonathan Taylor</x:v>
      </x:c>
      <x:c r="G10" s="26" t="str">
        <x:v>IND</x:v>
      </x:c>
      <x:c r="H10" s="26" t="str">
        <x:v>RB</x:v>
      </x:c>
      <x:c r="I10" s="28" t="n">
        <x:v>285.8</x:v>
      </x:c>
      <x:c r="J10" s="28" t="n">
        <x:v>124.5</x:v>
      </x:c>
      <x:c r="K10" s="28" t="n">
        <x:v>161.3</x:v>
      </x:c>
      <x:c r="L10" s="28" t="n">
        <x:v>0</x:v>
      </x:c>
      <x:c r="M10" s="28" t="n">
        <x:v>161.3</x:v>
      </x:c>
      <x:c r="N10" s="28"/>
      <x:c r="O10" s="26" t="str">
        <x:v>ADP_NOT_LOADED</x:v>
      </x:c>
      <x:c r="P10" s="26" t="str">
        <x:v>Projection-only v1.0</x:v>
      </x:c>
    </x:row>
    <x:row r="11">
      <x:c r="A11" s="26" t="str">
        <x:v>half_ppr</x:v>
      </x:c>
      <x:c r="B11" s="26" t="n">
        <x:v>7</x:v>
      </x:c>
      <x:c r="C11" s="26" t="n">
        <x:v>1</x:v>
      </x:c>
      <x:c r="D11" s="26" t="n">
        <x:v>3</x:v>
      </x:c>
      <x:c r="E11" s="26" t="n">
        <x:v>1</x:v>
      </x:c>
      <x:c r="F11" s="26" t="str">
        <x:v>Jaxon Smith-Njigba</x:v>
      </x:c>
      <x:c r="G11" s="26" t="str">
        <x:v>SEA</x:v>
      </x:c>
      <x:c r="H11" s="26" t="str">
        <x:v>WR</x:v>
      </x:c>
      <x:c r="I11" s="28" t="n">
        <x:v>263.7</x:v>
      </x:c>
      <x:c r="J11" s="28" t="n">
        <x:v>110.6</x:v>
      </x:c>
      <x:c r="K11" s="28" t="n">
        <x:v>153.1</x:v>
      </x:c>
      <x:c r="L11" s="28" t="n">
        <x:v>0</x:v>
      </x:c>
      <x:c r="M11" s="28" t="n">
        <x:v>153.1</x:v>
      </x:c>
      <x:c r="N11" s="28"/>
      <x:c r="O11" s="26" t="str">
        <x:v>ADP_NOT_LOADED</x:v>
      </x:c>
      <x:c r="P11" s="26" t="str">
        <x:v>Projection-only v1.0</x:v>
      </x:c>
    </x:row>
    <x:row r="12">
      <x:c r="A12" s="26" t="str">
        <x:v>half_ppr</x:v>
      </x:c>
      <x:c r="B12" s="26" t="n">
        <x:v>8</x:v>
      </x:c>
      <x:c r="C12" s="26" t="n">
        <x:v>1</x:v>
      </x:c>
      <x:c r="D12" s="26" t="n">
        <x:v>4</x:v>
      </x:c>
      <x:c r="E12" s="26" t="n">
        <x:v>1</x:v>
      </x:c>
      <x:c r="F12" s="26" t="str">
        <x:v>Amon-Ra St. Brown</x:v>
      </x:c>
      <x:c r="G12" s="26" t="str">
        <x:v>DET</x:v>
      </x:c>
      <x:c r="H12" s="26" t="str">
        <x:v>WR</x:v>
      </x:c>
      <x:c r="I12" s="28" t="n">
        <x:v>255.8</x:v>
      </x:c>
      <x:c r="J12" s="28" t="n">
        <x:v>110.6</x:v>
      </x:c>
      <x:c r="K12" s="28" t="n">
        <x:v>145.20000000000002</x:v>
      </x:c>
      <x:c r="L12" s="28" t="n">
        <x:v>0</x:v>
      </x:c>
      <x:c r="M12" s="28" t="n">
        <x:v>145.20000000000002</x:v>
      </x:c>
      <x:c r="N12" s="28"/>
      <x:c r="O12" s="26" t="str">
        <x:v>ADP_NOT_LOADED</x:v>
      </x:c>
      <x:c r="P12" s="26" t="str">
        <x:v>Projection-only v1.0</x:v>
      </x:c>
    </x:row>
    <x:row r="13">
      <x:c r="A13" s="26" t="str">
        <x:v>half_ppr</x:v>
      </x:c>
      <x:c r="B13" s="26" t="n">
        <x:v>9</x:v>
      </x:c>
      <x:c r="C13" s="26" t="n">
        <x:v>2</x:v>
      </x:c>
      <x:c r="D13" s="26" t="n">
        <x:v>5</x:v>
      </x:c>
      <x:c r="E13" s="26" t="n">
        <x:v>1</x:v>
      </x:c>
      <x:c r="F13" s="26" t="str">
        <x:v>Omarion Hampton</x:v>
      </x:c>
      <x:c r="G13" s="26" t="str">
        <x:v>LAC</x:v>
      </x:c>
      <x:c r="H13" s="26" t="str">
        <x:v>RB</x:v>
      </x:c>
      <x:c r="I13" s="28" t="n">
        <x:v>261.3</x:v>
      </x:c>
      <x:c r="J13" s="28" t="n">
        <x:v>124.5</x:v>
      </x:c>
      <x:c r="K13" s="28" t="n">
        <x:v>136.8</x:v>
      </x:c>
      <x:c r="L13" s="28" t="n">
        <x:v>0</x:v>
      </x:c>
      <x:c r="M13" s="28" t="n">
        <x:v>136.8</x:v>
      </x:c>
      <x:c r="N13" s="28"/>
      <x:c r="O13" s="26" t="str">
        <x:v>ADP_NOT_LOADED</x:v>
      </x:c>
      <x:c r="P13" s="26" t="str">
        <x:v>Projection-only v1.0</x:v>
      </x:c>
    </x:row>
    <x:row r="14">
      <x:c r="A14" s="26" t="str">
        <x:v>half_ppr</x:v>
      </x:c>
      <x:c r="B14" s="26" t="n">
        <x:v>10</x:v>
      </x:c>
      <x:c r="C14" s="26" t="n">
        <x:v>2</x:v>
      </x:c>
      <x:c r="D14" s="26" t="n">
        <x:v>11</x:v>
      </x:c>
      <x:c r="E14" s="26" t="n">
        <x:v>2</x:v>
      </x:c>
      <x:c r="F14" s="26" t="str">
        <x:v>Derrick Henry</x:v>
      </x:c>
      <x:c r="G14" s="26" t="str">
        <x:v>BAL</x:v>
      </x:c>
      <x:c r="H14" s="26" t="str">
        <x:v>RB</x:v>
      </x:c>
      <x:c r="I14" s="28" t="n">
        <x:v>256.7</x:v>
      </x:c>
      <x:c r="J14" s="28" t="n">
        <x:v>124.5</x:v>
      </x:c>
      <x:c r="K14" s="28" t="n">
        <x:v>132.2</x:v>
      </x:c>
      <x:c r="L14" s="28" t="n">
        <x:v>0</x:v>
      </x:c>
      <x:c r="M14" s="28" t="n">
        <x:v>132.2</x:v>
      </x:c>
      <x:c r="N14" s="28"/>
      <x:c r="O14" s="26" t="str">
        <x:v>ADP_NOT_LOADED</x:v>
      </x:c>
      <x:c r="P14" s="26" t="str">
        <x:v>Projection-only v1.0</x:v>
      </x:c>
    </x:row>
    <x:row r="15">
      <x:c r="A15" s="26" t="str">
        <x:v>half_ppr</x:v>
      </x:c>
      <x:c r="B15" s="26" t="n">
        <x:v>11</x:v>
      </x:c>
      <x:c r="C15" s="26" t="n">
        <x:v>2</x:v>
      </x:c>
      <x:c r="D15" s="26" t="n">
        <x:v>6</x:v>
      </x:c>
      <x:c r="E15" s="26" t="n">
        <x:v>1</x:v>
      </x:c>
      <x:c r="F15" s="26" t="str">
        <x:v>De'Von Achane</x:v>
      </x:c>
      <x:c r="G15" s="26" t="str">
        <x:v>MIA</x:v>
      </x:c>
      <x:c r="H15" s="26" t="str">
        <x:v>RB</x:v>
      </x:c>
      <x:c r="I15" s="28" t="n">
        <x:v>256.1</x:v>
      </x:c>
      <x:c r="J15" s="28" t="n">
        <x:v>124.5</x:v>
      </x:c>
      <x:c r="K15" s="28" t="n">
        <x:v>131.60000000000002</x:v>
      </x:c>
      <x:c r="L15" s="28" t="n">
        <x:v>0</x:v>
      </x:c>
      <x:c r="M15" s="28" t="n">
        <x:v>131.60000000000002</x:v>
      </x:c>
      <x:c r="N15" s="28"/>
      <x:c r="O15" s="26" t="str">
        <x:v>ADP_NOT_LOADED</x:v>
      </x:c>
      <x:c r="P15" s="26" t="str">
        <x:v>Projection-only v1.0</x:v>
      </x:c>
    </x:row>
    <x:row r="16">
      <x:c r="A16" s="26" t="str">
        <x:v>half_ppr</x:v>
      </x:c>
      <x:c r="B16" s="26" t="n">
        <x:v>12</x:v>
      </x:c>
      <x:c r="C16" s="26" t="n">
        <x:v>2</x:v>
      </x:c>
      <x:c r="D16" s="26" t="n">
        <x:v>9</x:v>
      </x:c>
      <x:c r="E16" s="26" t="n">
        <x:v>2</x:v>
      </x:c>
      <x:c r="F16" s="26" t="str">
        <x:v>James Cook III</x:v>
      </x:c>
      <x:c r="G16" s="26" t="str">
        <x:v>BUF</x:v>
      </x:c>
      <x:c r="H16" s="26" t="str">
        <x:v>RB</x:v>
      </x:c>
      <x:c r="I16" s="28" t="n">
        <x:v>255.2</x:v>
      </x:c>
      <x:c r="J16" s="28" t="n">
        <x:v>124.5</x:v>
      </x:c>
      <x:c r="K16" s="28" t="n">
        <x:v>130.7</x:v>
      </x:c>
      <x:c r="L16" s="28" t="n">
        <x:v>0</x:v>
      </x:c>
      <x:c r="M16" s="28" t="n">
        <x:v>130.7</x:v>
      </x:c>
      <x:c r="N16" s="28"/>
      <x:c r="O16" s="26" t="str">
        <x:v>ADP_NOT_LOADED</x:v>
      </x:c>
      <x:c r="P16" s="26" t="str">
        <x:v>Projection-only v1.0</x:v>
      </x:c>
    </x:row>
    <x:row r="17">
      <x:c r="A17" s="26" t="str">
        <x:v>half_ppr</x:v>
      </x:c>
      <x:c r="B17" s="26" t="n">
        <x:v>13</x:v>
      </x:c>
      <x:c r="C17" s="26" t="n">
        <x:v>2</x:v>
      </x:c>
      <x:c r="D17" s="26" t="n">
        <x:v>10</x:v>
      </x:c>
      <x:c r="E17" s="26" t="n">
        <x:v>2</x:v>
      </x:c>
      <x:c r="F17" s="26" t="str">
        <x:v>Kenneth Walker III</x:v>
      </x:c>
      <x:c r="G17" s="26" t="str">
        <x:v>KC</x:v>
      </x:c>
      <x:c r="H17" s="26" t="str">
        <x:v>RB</x:v>
      </x:c>
      <x:c r="I17" s="28" t="n">
        <x:v>247.9</x:v>
      </x:c>
      <x:c r="J17" s="28" t="n">
        <x:v>124.5</x:v>
      </x:c>
      <x:c r="K17" s="28" t="n">
        <x:v>123.4</x:v>
      </x:c>
      <x:c r="L17" s="28" t="n">
        <x:v>0</x:v>
      </x:c>
      <x:c r="M17" s="28" t="n">
        <x:v>123.4</x:v>
      </x:c>
      <x:c r="N17" s="28"/>
      <x:c r="O17" s="26" t="str">
        <x:v>ADP_NOT_LOADED</x:v>
      </x:c>
      <x:c r="P17" s="26" t="str">
        <x:v>Projection-only v1.0</x:v>
      </x:c>
    </x:row>
    <x:row r="18">
      <x:c r="A18" s="26" t="str">
        <x:v>half_ppr</x:v>
      </x:c>
      <x:c r="B18" s="26" t="n">
        <x:v>14</x:v>
      </x:c>
      <x:c r="C18" s="26" t="n">
        <x:v>2</x:v>
      </x:c>
      <x:c r="D18" s="26" t="n">
        <x:v>7</x:v>
      </x:c>
      <x:c r="E18" s="26" t="n">
        <x:v>2</x:v>
      </x:c>
      <x:c r="F18" s="26" t="str">
        <x:v>Chase Brown</x:v>
      </x:c>
      <x:c r="G18" s="26" t="str">
        <x:v>CIN</x:v>
      </x:c>
      <x:c r="H18" s="26" t="str">
        <x:v>RB</x:v>
      </x:c>
      <x:c r="I18" s="28" t="n">
        <x:v>247.4</x:v>
      </x:c>
      <x:c r="J18" s="28" t="n">
        <x:v>124.5</x:v>
      </x:c>
      <x:c r="K18" s="28" t="n">
        <x:v>122.9</x:v>
      </x:c>
      <x:c r="L18" s="28" t="n">
        <x:v>0</x:v>
      </x:c>
      <x:c r="M18" s="28" t="n">
        <x:v>122.9</x:v>
      </x:c>
      <x:c r="N18" s="28"/>
      <x:c r="O18" s="26" t="str">
        <x:v>ADP_NOT_LOADED</x:v>
      </x:c>
      <x:c r="P18" s="26" t="str">
        <x:v>Projection-only v1.0</x:v>
      </x:c>
    </x:row>
    <x:row r="19">
      <x:c r="A19" s="26" t="str">
        <x:v>half_ppr</x:v>
      </x:c>
      <x:c r="B19" s="26" t="n">
        <x:v>15</x:v>
      </x:c>
      <x:c r="C19" s="26" t="n">
        <x:v>2</x:v>
      </x:c>
      <x:c r="D19" s="26" t="n">
        <x:v>8</x:v>
      </x:c>
      <x:c r="E19" s="26" t="n">
        <x:v>2</x:v>
      </x:c>
      <x:c r="F19" s="26" t="str">
        <x:v>Ashton Jeanty</x:v>
      </x:c>
      <x:c r="G19" s="26" t="str">
        <x:v>LV</x:v>
      </x:c>
      <x:c r="H19" s="26" t="str">
        <x:v>RB</x:v>
      </x:c>
      <x:c r="I19" s="28" t="n">
        <x:v>246</x:v>
      </x:c>
      <x:c r="J19" s="28" t="n">
        <x:v>124.5</x:v>
      </x:c>
      <x:c r="K19" s="28" t="n">
        <x:v>121.5</x:v>
      </x:c>
      <x:c r="L19" s="28" t="n">
        <x:v>0</x:v>
      </x:c>
      <x:c r="M19" s="28" t="n">
        <x:v>121.5</x:v>
      </x:c>
      <x:c r="N19" s="28"/>
      <x:c r="O19" s="26" t="str">
        <x:v>ADP_NOT_LOADED</x:v>
      </x:c>
      <x:c r="P19" s="26" t="str">
        <x:v>Projection-only v1.0</x:v>
      </x:c>
    </x:row>
    <x:row r="20">
      <x:c r="A20" s="26" t="str">
        <x:v>half_ppr</x:v>
      </x:c>
      <x:c r="B20" s="26" t="n">
        <x:v>16</x:v>
      </x:c>
      <x:c r="C20" s="26" t="n">
        <x:v>2</x:v>
      </x:c>
      <x:c r="D20" s="26" t="n">
        <x:v>5</x:v>
      </x:c>
      <x:c r="E20" s="26" t="n">
        <x:v>1</x:v>
      </x:c>
      <x:c r="F20" s="26" t="str">
        <x:v>Justin Jefferson</x:v>
      </x:c>
      <x:c r="G20" s="26" t="str">
        <x:v>MIN</x:v>
      </x:c>
      <x:c r="H20" s="26" t="str">
        <x:v>WR</x:v>
      </x:c>
      <x:c r="I20" s="28" t="n">
        <x:v>231</x:v>
      </x:c>
      <x:c r="J20" s="28" t="n">
        <x:v>110.6</x:v>
      </x:c>
      <x:c r="K20" s="28" t="n">
        <x:v>120.4</x:v>
      </x:c>
      <x:c r="L20" s="28" t="n">
        <x:v>0</x:v>
      </x:c>
      <x:c r="M20" s="28" t="n">
        <x:v>120.4</x:v>
      </x:c>
      <x:c r="N20" s="28"/>
      <x:c r="O20" s="26" t="str">
        <x:v>ADP_NOT_LOADED</x:v>
      </x:c>
      <x:c r="P20" s="26" t="str">
        <x:v>Projection-only v1.0</x:v>
      </x:c>
    </x:row>
    <x:row r="21">
      <x:c r="A21" s="26" t="str">
        <x:v>half_ppr</x:v>
      </x:c>
      <x:c r="B21" s="26" t="n">
        <x:v>17</x:v>
      </x:c>
      <x:c r="C21" s="26" t="n">
        <x:v>2</x:v>
      </x:c>
      <x:c r="D21" s="26" t="n">
        <x:v>12</x:v>
      </x:c>
      <x:c r="E21" s="26" t="n">
        <x:v>2</x:v>
      </x:c>
      <x:c r="F21" s="26" t="str">
        <x:v>Saquon Barkley</x:v>
      </x:c>
      <x:c r="G21" s="26" t="str">
        <x:v>PHI</x:v>
      </x:c>
      <x:c r="H21" s="26" t="str">
        <x:v>RB</x:v>
      </x:c>
      <x:c r="I21" s="28" t="n">
        <x:v>243</x:v>
      </x:c>
      <x:c r="J21" s="28" t="n">
        <x:v>124.5</x:v>
      </x:c>
      <x:c r="K21" s="28" t="n">
        <x:v>118.5</x:v>
      </x:c>
      <x:c r="L21" s="28" t="n">
        <x:v>0</x:v>
      </x:c>
      <x:c r="M21" s="28" t="n">
        <x:v>118.5</x:v>
      </x:c>
      <x:c r="N21" s="28"/>
      <x:c r="O21" s="26" t="str">
        <x:v>ADP_NOT_LOADED</x:v>
      </x:c>
      <x:c r="P21" s="26" t="str">
        <x:v>Projection-only v1.0</x:v>
      </x:c>
    </x:row>
    <x:row r="22">
      <x:c r="A22" s="26" t="str">
        <x:v>half_ppr</x:v>
      </x:c>
      <x:c r="B22" s="26" t="n">
        <x:v>18</x:v>
      </x:c>
      <x:c r="C22" s="26" t="n">
        <x:v>2</x:v>
      </x:c>
      <x:c r="D22" s="26" t="n">
        <x:v>6</x:v>
      </x:c>
      <x:c r="E22" s="26" t="n">
        <x:v>1</x:v>
      </x:c>
      <x:c r="F22" s="26" t="str">
        <x:v>CeeDee Lamb</x:v>
      </x:c>
      <x:c r="G22" s="26" t="str">
        <x:v>DAL</x:v>
      </x:c>
      <x:c r="H22" s="26" t="str">
        <x:v>WR</x:v>
      </x:c>
      <x:c r="I22" s="28" t="n">
        <x:v>223.6</x:v>
      </x:c>
      <x:c r="J22" s="28" t="n">
        <x:v>110.6</x:v>
      </x:c>
      <x:c r="K22" s="28" t="n">
        <x:v>113</x:v>
      </x:c>
      <x:c r="L22" s="28" t="n">
        <x:v>0</x:v>
      </x:c>
      <x:c r="M22" s="28" t="n">
        <x:v>113</x:v>
      </x:c>
      <x:c r="N22" s="28"/>
      <x:c r="O22" s="26" t="str">
        <x:v>ADP_NOT_LOADED</x:v>
      </x:c>
      <x:c r="P22" s="26" t="str">
        <x:v>Projection-only v1.0</x:v>
      </x:c>
    </x:row>
    <x:row r="23">
      <x:c r="A23" s="26" t="str">
        <x:v>half_ppr</x:v>
      </x:c>
      <x:c r="B23" s="26" t="n">
        <x:v>19</x:v>
      </x:c>
      <x:c r="C23" s="26" t="n">
        <x:v>2</x:v>
      </x:c>
      <x:c r="D23" s="26" t="n">
        <x:v>7</x:v>
      </x:c>
      <x:c r="E23" s="26" t="n">
        <x:v>2</x:v>
      </x:c>
      <x:c r="F23" s="26" t="str">
        <x:v>Drake London</x:v>
      </x:c>
      <x:c r="G23" s="26" t="str">
        <x:v>ATL</x:v>
      </x:c>
      <x:c r="H23" s="26" t="str">
        <x:v>WR</x:v>
      </x:c>
      <x:c r="I23" s="28" t="n">
        <x:v>222.5</x:v>
      </x:c>
      <x:c r="J23" s="28" t="n">
        <x:v>110.6</x:v>
      </x:c>
      <x:c r="K23" s="28" t="n">
        <x:v>111.9</x:v>
      </x:c>
      <x:c r="L23" s="28" t="n">
        <x:v>0</x:v>
      </x:c>
      <x:c r="M23" s="28" t="n">
        <x:v>111.9</x:v>
      </x:c>
      <x:c r="N23" s="28"/>
      <x:c r="O23" s="26" t="str">
        <x:v>ADP_NOT_LOADED</x:v>
      </x:c>
      <x:c r="P23" s="26" t="str">
        <x:v>Projection-only v1.0</x:v>
      </x:c>
    </x:row>
    <x:row r="24">
      <x:c r="A24" s="26" t="str">
        <x:v>half_ppr</x:v>
      </x:c>
      <x:c r="B24" s="26" t="n">
        <x:v>20</x:v>
      </x:c>
      <x:c r="C24" s="26" t="n">
        <x:v>2</x:v>
      </x:c>
      <x:c r="D24" s="26" t="n">
        <x:v>13</x:v>
      </x:c>
      <x:c r="E24" s="26" t="n">
        <x:v>2</x:v>
      </x:c>
      <x:c r="F24" s="26" t="str">
        <x:v>Josh Jacobs</x:v>
      </x:c>
      <x:c r="G24" s="26" t="str">
        <x:v>GB</x:v>
      </x:c>
      <x:c r="H24" s="26" t="str">
        <x:v>RB</x:v>
      </x:c>
      <x:c r="I24" s="28" t="n">
        <x:v>234.9</x:v>
      </x:c>
      <x:c r="J24" s="28" t="n">
        <x:v>124.5</x:v>
      </x:c>
      <x:c r="K24" s="28" t="n">
        <x:v>110.4</x:v>
      </x:c>
      <x:c r="L24" s="28" t="n">
        <x:v>0</x:v>
      </x:c>
      <x:c r="M24" s="28" t="n">
        <x:v>110.4</x:v>
      </x:c>
      <x:c r="N24" s="28"/>
      <x:c r="O24" s="26" t="str">
        <x:v>ADP_NOT_LOADED</x:v>
      </x:c>
      <x:c r="P24" s="26" t="str">
        <x:v>Projection-only v1.0</x:v>
      </x:c>
    </x:row>
    <x:row r="25">
      <x:c r="A25" s="26" t="str">
        <x:v>half_ppr</x:v>
      </x:c>
      <x:c r="B25" s="26" t="n">
        <x:v>21</x:v>
      </x:c>
      <x:c r="C25" s="26" t="n">
        <x:v>2</x:v>
      </x:c>
      <x:c r="D25" s="26" t="n">
        <x:v>14</x:v>
      </x:c>
      <x:c r="E25" s="26" t="n">
        <x:v>2</x:v>
      </x:c>
      <x:c r="F25" s="26" t="str">
        <x:v>Javonte Williams</x:v>
      </x:c>
      <x:c r="G25" s="26" t="str">
        <x:v>DAL</x:v>
      </x:c>
      <x:c r="H25" s="26" t="str">
        <x:v>RB</x:v>
      </x:c>
      <x:c r="I25" s="28" t="n">
        <x:v>229.5</x:v>
      </x:c>
      <x:c r="J25" s="28" t="n">
        <x:v>124.5</x:v>
      </x:c>
      <x:c r="K25" s="28" t="n">
        <x:v>105</x:v>
      </x:c>
      <x:c r="L25" s="28" t="n">
        <x:v>0</x:v>
      </x:c>
      <x:c r="M25" s="28" t="n">
        <x:v>105</x:v>
      </x:c>
      <x:c r="N25" s="28"/>
      <x:c r="O25" s="26" t="str">
        <x:v>ADP_NOT_LOADED</x:v>
      </x:c>
      <x:c r="P25" s="26" t="str">
        <x:v>Projection-only v1.0</x:v>
      </x:c>
    </x:row>
    <x:row r="26">
      <x:c r="A26" s="26" t="str">
        <x:v>half_ppr</x:v>
      </x:c>
      <x:c r="B26" s="26" t="n">
        <x:v>22</x:v>
      </x:c>
      <x:c r="C26" s="26" t="n">
        <x:v>2</x:v>
      </x:c>
      <x:c r="D26" s="26" t="n">
        <x:v>8</x:v>
      </x:c>
      <x:c r="E26" s="26" t="n">
        <x:v>2</x:v>
      </x:c>
      <x:c r="F26" s="26" t="str">
        <x:v>Rashee Rice</x:v>
      </x:c>
      <x:c r="G26" s="26" t="str">
        <x:v>KC</x:v>
      </x:c>
      <x:c r="H26" s="26" t="str">
        <x:v>WR</x:v>
      </x:c>
      <x:c r="I26" s="28" t="n">
        <x:v>215.5</x:v>
      </x:c>
      <x:c r="J26" s="28" t="n">
        <x:v>110.6</x:v>
      </x:c>
      <x:c r="K26" s="28" t="n">
        <x:v>104.9</x:v>
      </x:c>
      <x:c r="L26" s="28" t="n">
        <x:v>0</x:v>
      </x:c>
      <x:c r="M26" s="28" t="n">
        <x:v>104.9</x:v>
      </x:c>
      <x:c r="N26" s="28"/>
      <x:c r="O26" s="26" t="str">
        <x:v>ADP_NOT_LOADED</x:v>
      </x:c>
      <x:c r="P26" s="26" t="str">
        <x:v>Projection-only v1.0</x:v>
      </x:c>
    </x:row>
    <x:row r="27">
      <x:c r="A27" s="26" t="str">
        <x:v>half_ppr</x:v>
      </x:c>
      <x:c r="B27" s="26" t="n">
        <x:v>23</x:v>
      </x:c>
      <x:c r="C27" s="26" t="n">
        <x:v>2</x:v>
      </x:c>
      <x:c r="D27" s="26" t="n">
        <x:v>15</x:v>
      </x:c>
      <x:c r="E27" s="26" t="n">
        <x:v>2</x:v>
      </x:c>
      <x:c r="F27" s="26" t="str">
        <x:v>Kyren Williams</x:v>
      </x:c>
      <x:c r="G27" s="26" t="str">
        <x:v>LAR</x:v>
      </x:c>
      <x:c r="H27" s="26" t="str">
        <x:v>RB</x:v>
      </x:c>
      <x:c r="I27" s="28" t="n">
        <x:v>226.2</x:v>
      </x:c>
      <x:c r="J27" s="28" t="n">
        <x:v>124.5</x:v>
      </x:c>
      <x:c r="K27" s="28" t="n">
        <x:v>101.69999999999999</x:v>
      </x:c>
      <x:c r="L27" s="28" t="n">
        <x:v>0</x:v>
      </x:c>
      <x:c r="M27" s="28" t="n">
        <x:v>101.69999999999999</x:v>
      </x:c>
      <x:c r="N27" s="28"/>
      <x:c r="O27" s="26" t="str">
        <x:v>ADP_NOT_LOADED</x:v>
      </x:c>
      <x:c r="P27" s="26" t="str">
        <x:v>Projection-only v1.0</x:v>
      </x:c>
    </x:row>
    <x:row r="28">
      <x:c r="A28" s="26" t="str">
        <x:v>half_ppr</x:v>
      </x:c>
      <x:c r="B28" s="26" t="n">
        <x:v>24</x:v>
      </x:c>
      <x:c r="C28" s="26" t="n">
        <x:v>2</x:v>
      </x:c>
      <x:c r="D28" s="26" t="n">
        <x:v>10</x:v>
      </x:c>
      <x:c r="E28" s="26" t="n">
        <x:v>2</x:v>
      </x:c>
      <x:c r="F28" s="26" t="str">
        <x:v>A.J. Brown</x:v>
      </x:c>
      <x:c r="G28" s="26" t="str">
        <x:v>NE</x:v>
      </x:c>
      <x:c r="H28" s="26" t="str">
        <x:v>WR</x:v>
      </x:c>
      <x:c r="I28" s="28" t="n">
        <x:v>209.7</x:v>
      </x:c>
      <x:c r="J28" s="28" t="n">
        <x:v>110.6</x:v>
      </x:c>
      <x:c r="K28" s="28" t="n">
        <x:v>99.1</x:v>
      </x:c>
      <x:c r="L28" s="28" t="n">
        <x:v>0</x:v>
      </x:c>
      <x:c r="M28" s="28" t="n">
        <x:v>99.1</x:v>
      </x:c>
      <x:c r="N28" s="28"/>
      <x:c r="O28" s="26" t="str">
        <x:v>ADP_NOT_LOADED</x:v>
      </x:c>
      <x:c r="P28" s="26" t="str">
        <x:v>Projection-only v1.0</x:v>
      </x:c>
    </x:row>
    <x:row r="29">
      <x:c r="A29" s="26" t="str">
        <x:v>half_ppr</x:v>
      </x:c>
      <x:c r="B29" s="26" t="n">
        <x:v>25</x:v>
      </x:c>
      <x:c r="C29" s="26" t="n">
        <x:v>3</x:v>
      </x:c>
      <x:c r="D29" s="26" t="n">
        <x:v>9</x:v>
      </x:c>
      <x:c r="E29" s="26" t="n">
        <x:v>2</x:v>
      </x:c>
      <x:c r="F29" s="26" t="str">
        <x:v>Chris Olave</x:v>
      </x:c>
      <x:c r="G29" s="26" t="str">
        <x:v>NO</x:v>
      </x:c>
      <x:c r="H29" s="26" t="str">
        <x:v>WR</x:v>
      </x:c>
      <x:c r="I29" s="28" t="n">
        <x:v>209.3</x:v>
      </x:c>
      <x:c r="J29" s="28" t="n">
        <x:v>110.6</x:v>
      </x:c>
      <x:c r="K29" s="28" t="n">
        <x:v>98.70000000000002</x:v>
      </x:c>
      <x:c r="L29" s="28" t="n">
        <x:v>0</x:v>
      </x:c>
      <x:c r="M29" s="28" t="n">
        <x:v>98.70000000000002</x:v>
      </x:c>
      <x:c r="N29" s="28"/>
      <x:c r="O29" s="26" t="str">
        <x:v>ADP_NOT_LOADED</x:v>
      </x:c>
      <x:c r="P29" s="26" t="str">
        <x:v>Projection-only v1.0</x:v>
      </x:c>
    </x:row>
    <x:row r="30">
      <x:c r="A30" s="26" t="str">
        <x:v>half_ppr</x:v>
      </x:c>
      <x:c r="B30" s="26" t="n">
        <x:v>26</x:v>
      </x:c>
      <x:c r="C30" s="26" t="n">
        <x:v>3</x:v>
      </x:c>
      <x:c r="D30" s="26" t="n">
        <x:v>11</x:v>
      </x:c>
      <x:c r="E30" s="26" t="n">
        <x:v>2</x:v>
      </x:c>
      <x:c r="F30" s="26" t="str">
        <x:v>Nico Collins</x:v>
      </x:c>
      <x:c r="G30" s="26" t="str">
        <x:v>HOU</x:v>
      </x:c>
      <x:c r="H30" s="26" t="str">
        <x:v>WR</x:v>
      </x:c>
      <x:c r="I30" s="28" t="n">
        <x:v>206.7</x:v>
      </x:c>
      <x:c r="J30" s="28" t="n">
        <x:v>110.6</x:v>
      </x:c>
      <x:c r="K30" s="28" t="n">
        <x:v>96.1</x:v>
      </x:c>
      <x:c r="L30" s="28" t="n">
        <x:v>0</x:v>
      </x:c>
      <x:c r="M30" s="28" t="n">
        <x:v>96.1</x:v>
      </x:c>
      <x:c r="N30" s="28"/>
      <x:c r="O30" s="26" t="str">
        <x:v>ADP_NOT_LOADED</x:v>
      </x:c>
      <x:c r="P30" s="26" t="str">
        <x:v>Projection-only v1.0</x:v>
      </x:c>
    </x:row>
    <x:row r="31">
      <x:c r="A31" s="26" t="str">
        <x:v>half_ppr</x:v>
      </x:c>
      <x:c r="B31" s="26" t="n">
        <x:v>27</x:v>
      </x:c>
      <x:c r="C31" s="26" t="n">
        <x:v>3</x:v>
      </x:c>
      <x:c r="D31" s="26" t="n">
        <x:v>12</x:v>
      </x:c>
      <x:c r="E31" s="26" t="n">
        <x:v>2</x:v>
      </x:c>
      <x:c r="F31" s="26" t="str">
        <x:v>George Pickens</x:v>
      </x:c>
      <x:c r="G31" s="26" t="str">
        <x:v>DAL</x:v>
      </x:c>
      <x:c r="H31" s="26" t="str">
        <x:v>WR</x:v>
      </x:c>
      <x:c r="I31" s="28" t="n">
        <x:v>205.6</x:v>
      </x:c>
      <x:c r="J31" s="28" t="n">
        <x:v>110.6</x:v>
      </x:c>
      <x:c r="K31" s="28" t="n">
        <x:v>95</x:v>
      </x:c>
      <x:c r="L31" s="28" t="n">
        <x:v>0</x:v>
      </x:c>
      <x:c r="M31" s="28" t="n">
        <x:v>95</x:v>
      </x:c>
      <x:c r="N31" s="28"/>
      <x:c r="O31" s="26" t="str">
        <x:v>ADP_NOT_LOADED</x:v>
      </x:c>
      <x:c r="P31" s="26" t="str">
        <x:v>Projection-only v1.0</x:v>
      </x:c>
    </x:row>
    <x:row r="32">
      <x:c r="A32" s="26" t="str">
        <x:v>half_ppr</x:v>
      </x:c>
      <x:c r="B32" s="26" t="n">
        <x:v>28</x:v>
      </x:c>
      <x:c r="C32" s="26" t="n">
        <x:v>3</x:v>
      </x:c>
      <x:c r="D32" s="26" t="n">
        <x:v>13</x:v>
      </x:c>
      <x:c r="E32" s="26" t="n">
        <x:v>2</x:v>
      </x:c>
      <x:c r="F32" s="26" t="str">
        <x:v>Zay Flowers</x:v>
      </x:c>
      <x:c r="G32" s="26" t="str">
        <x:v>BAL</x:v>
      </x:c>
      <x:c r="H32" s="26" t="str">
        <x:v>WR</x:v>
      </x:c>
      <x:c r="I32" s="28" t="n">
        <x:v>202.1</x:v>
      </x:c>
      <x:c r="J32" s="28" t="n">
        <x:v>110.6</x:v>
      </x:c>
      <x:c r="K32" s="28" t="n">
        <x:v>91.5</x:v>
      </x:c>
      <x:c r="L32" s="28" t="n">
        <x:v>0</x:v>
      </x:c>
      <x:c r="M32" s="28" t="n">
        <x:v>91.5</x:v>
      </x:c>
      <x:c r="N32" s="28"/>
      <x:c r="O32" s="26" t="str">
        <x:v>ADP_NOT_LOADED</x:v>
      </x:c>
      <x:c r="P32" s="26" t="str">
        <x:v>Projection-only v1.0</x:v>
      </x:c>
    </x:row>
    <x:row r="33">
      <x:c r="A33" s="26" t="str">
        <x:v>half_ppr</x:v>
      </x:c>
      <x:c r="B33" s="26" t="n">
        <x:v>29</x:v>
      </x:c>
      <x:c r="C33" s="26" t="n">
        <x:v>3</x:v>
      </x:c>
      <x:c r="D33" s="26" t="n">
        <x:v>16</x:v>
      </x:c>
      <x:c r="E33" s="26" t="n">
        <x:v>2</x:v>
      </x:c>
      <x:c r="F33" s="26" t="str">
        <x:v>Breece Hall</x:v>
      </x:c>
      <x:c r="G33" s="26" t="str">
        <x:v>NYJ</x:v>
      </x:c>
      <x:c r="H33" s="26" t="str">
        <x:v>RB</x:v>
      </x:c>
      <x:c r="I33" s="28" t="n">
        <x:v>215.7</x:v>
      </x:c>
      <x:c r="J33" s="28" t="n">
        <x:v>124.5</x:v>
      </x:c>
      <x:c r="K33" s="28" t="n">
        <x:v>91.19999999999999</x:v>
      </x:c>
      <x:c r="L33" s="28" t="n">
        <x:v>0</x:v>
      </x:c>
      <x:c r="M33" s="28" t="n">
        <x:v>91.19999999999999</x:v>
      </x:c>
      <x:c r="N33" s="28"/>
      <x:c r="O33" s="26" t="str">
        <x:v>ADP_NOT_LOADED</x:v>
      </x:c>
      <x:c r="P33" s="26" t="str">
        <x:v>Projection-only v1.0</x:v>
      </x:c>
    </x:row>
    <x:row r="34">
      <x:c r="A34" s="26" t="str">
        <x:v>half_ppr</x:v>
      </x:c>
      <x:c r="B34" s="26" t="n">
        <x:v>30</x:v>
      </x:c>
      <x:c r="C34" s="26" t="n">
        <x:v>3</x:v>
      </x:c>
      <x:c r="D34" s="26" t="n">
        <x:v>17</x:v>
      </x:c>
      <x:c r="E34" s="26" t="n">
        <x:v>2</x:v>
      </x:c>
      <x:c r="F34" s="26" t="str">
        <x:v>D'Andre Swift</x:v>
      </x:c>
      <x:c r="G34" s="26" t="str">
        <x:v>CHI</x:v>
      </x:c>
      <x:c r="H34" s="26" t="str">
        <x:v>RB</x:v>
      </x:c>
      <x:c r="I34" s="28" t="n">
        <x:v>205.6</x:v>
      </x:c>
      <x:c r="J34" s="28" t="n">
        <x:v>124.5</x:v>
      </x:c>
      <x:c r="K34" s="28" t="n">
        <x:v>81.1</x:v>
      </x:c>
      <x:c r="L34" s="28" t="n">
        <x:v>0</x:v>
      </x:c>
      <x:c r="M34" s="28" t="n">
        <x:v>81.1</x:v>
      </x:c>
      <x:c r="N34" s="28"/>
      <x:c r="O34" s="26" t="str">
        <x:v>ADP_NOT_LOADED</x:v>
      </x:c>
      <x:c r="P34" s="26" t="str">
        <x:v>Projection-only v1.0</x:v>
      </x:c>
    </x:row>
    <x:row r="35">
      <x:c r="A35" s="26" t="str">
        <x:v>half_ppr</x:v>
      </x:c>
      <x:c r="B35" s="26" t="n">
        <x:v>31</x:v>
      </x:c>
      <x:c r="C35" s="26" t="n">
        <x:v>3</x:v>
      </x:c>
      <x:c r="D35" s="26" t="n">
        <x:v>14</x:v>
      </x:c>
      <x:c r="E35" s="26" t="n">
        <x:v>2</x:v>
      </x:c>
      <x:c r="F35" s="26" t="str">
        <x:v>Rome Odunze</x:v>
      </x:c>
      <x:c r="G35" s="26" t="str">
        <x:v>CHI</x:v>
      </x:c>
      <x:c r="H35" s="26" t="str">
        <x:v>WR</x:v>
      </x:c>
      <x:c r="I35" s="28" t="n">
        <x:v>190.9</x:v>
      </x:c>
      <x:c r="J35" s="28" t="n">
        <x:v>110.6</x:v>
      </x:c>
      <x:c r="K35" s="28" t="n">
        <x:v>80.30000000000001</x:v>
      </x:c>
      <x:c r="L35" s="28" t="n">
        <x:v>0</x:v>
      </x:c>
      <x:c r="M35" s="28" t="n">
        <x:v>80.30000000000001</x:v>
      </x:c>
      <x:c r="N35" s="28"/>
      <x:c r="O35" s="26" t="str">
        <x:v>ADP_NOT_LOADED</x:v>
      </x:c>
      <x:c r="P35" s="26" t="str">
        <x:v>Projection-only v1.0</x:v>
      </x:c>
    </x:row>
    <x:row r="36">
      <x:c r="A36" s="26" t="str">
        <x:v>half_ppr</x:v>
      </x:c>
      <x:c r="B36" s="26" t="n">
        <x:v>32</x:v>
      </x:c>
      <x:c r="C36" s="26" t="n">
        <x:v>3</x:v>
      </x:c>
      <x:c r="D36" s="26" t="n">
        <x:v>18</x:v>
      </x:c>
      <x:c r="E36" s="26" t="n">
        <x:v>2</x:v>
      </x:c>
      <x:c r="F36" s="26" t="str">
        <x:v>Jeremiyah Love</x:v>
      </x:c>
      <x:c r="G36" s="26" t="str">
        <x:v>ARI</x:v>
      </x:c>
      <x:c r="H36" s="26" t="str">
        <x:v>RB</x:v>
      </x:c>
      <x:c r="I36" s="28" t="n">
        <x:v>201.4</x:v>
      </x:c>
      <x:c r="J36" s="28" t="n">
        <x:v>124.5</x:v>
      </x:c>
      <x:c r="K36" s="28" t="n">
        <x:v>76.9</x:v>
      </x:c>
      <x:c r="L36" s="28" t="n">
        <x:v>0</x:v>
      </x:c>
      <x:c r="M36" s="28" t="n">
        <x:v>76.9</x:v>
      </x:c>
      <x:c r="N36" s="28"/>
      <x:c r="O36" s="26" t="str">
        <x:v>ADP_NOT_LOADED</x:v>
      </x:c>
      <x:c r="P36" s="26" t="str">
        <x:v>Projection-only v1.0</x:v>
      </x:c>
    </x:row>
    <x:row r="37">
      <x:c r="A37" s="26" t="str">
        <x:v>half_ppr</x:v>
      </x:c>
      <x:c r="B37" s="26" t="n">
        <x:v>33</x:v>
      </x:c>
      <x:c r="C37" s="26" t="n">
        <x:v>3</x:v>
      </x:c>
      <x:c r="D37" s="26" t="n">
        <x:v>17</x:v>
      </x:c>
      <x:c r="E37" s="26" t="n">
        <x:v>2</x:v>
      </x:c>
      <x:c r="F37" s="26" t="str">
        <x:v>Tee Higgins</x:v>
      </x:c>
      <x:c r="G37" s="26" t="str">
        <x:v>CIN</x:v>
      </x:c>
      <x:c r="H37" s="26" t="str">
        <x:v>WR</x:v>
      </x:c>
      <x:c r="I37" s="28" t="n">
        <x:v>184.7</x:v>
      </x:c>
      <x:c r="J37" s="28" t="n">
        <x:v>110.6</x:v>
      </x:c>
      <x:c r="K37" s="28" t="n">
        <x:v>74.1</x:v>
      </x:c>
      <x:c r="L37" s="28" t="n">
        <x:v>0</x:v>
      </x:c>
      <x:c r="M37" s="28" t="n">
        <x:v>74.1</x:v>
      </x:c>
      <x:c r="N37" s="28"/>
      <x:c r="O37" s="26" t="str">
        <x:v>ADP_NOT_LOADED</x:v>
      </x:c>
      <x:c r="P37" s="26" t="str">
        <x:v>Projection-only v1.0</x:v>
      </x:c>
    </x:row>
    <x:row r="38">
      <x:c r="A38" s="26" t="str">
        <x:v>half_ppr</x:v>
      </x:c>
      <x:c r="B38" s="26" t="n">
        <x:v>34</x:v>
      </x:c>
      <x:c r="C38" s="26" t="n">
        <x:v>3</x:v>
      </x:c>
      <x:c r="D38" s="26" t="n">
        <x:v>15</x:v>
      </x:c>
      <x:c r="E38" s="26" t="n">
        <x:v>2</x:v>
      </x:c>
      <x:c r="F38" s="26" t="str">
        <x:v>DeVonta Smith</x:v>
      </x:c>
      <x:c r="G38" s="26" t="str">
        <x:v>PHI</x:v>
      </x:c>
      <x:c r="H38" s="26" t="str">
        <x:v>WR</x:v>
      </x:c>
      <x:c r="I38" s="28" t="n">
        <x:v>184.3</x:v>
      </x:c>
      <x:c r="J38" s="28" t="n">
        <x:v>110.6</x:v>
      </x:c>
      <x:c r="K38" s="28" t="n">
        <x:v>73.70000000000002</x:v>
      </x:c>
      <x:c r="L38" s="28" t="n">
        <x:v>0</x:v>
      </x:c>
      <x:c r="M38" s="28" t="n">
        <x:v>73.70000000000002</x:v>
      </x:c>
      <x:c r="N38" s="28"/>
      <x:c r="O38" s="26" t="str">
        <x:v>ADP_NOT_LOADED</x:v>
      </x:c>
      <x:c r="P38" s="26" t="str">
        <x:v>Projection-only v1.0</x:v>
      </x:c>
    </x:row>
    <x:row r="39">
      <x:c r="A39" s="26" t="str">
        <x:v>half_ppr</x:v>
      </x:c>
      <x:c r="B39" s="26" t="n">
        <x:v>35</x:v>
      </x:c>
      <x:c r="C39" s="26" t="n">
        <x:v>3</x:v>
      </x:c>
      <x:c r="D39" s="26" t="n">
        <x:v>1</x:v>
      </x:c>
      <x:c r="E39" s="26" t="n">
        <x:v>1</x:v>
      </x:c>
      <x:c r="F39" s="26" t="str">
        <x:v>Josh Allen</x:v>
      </x:c>
      <x:c r="G39" s="26" t="str">
        <x:v>BUF</x:v>
      </x:c>
      <x:c r="H39" s="26" t="str">
        <x:v>QB</x:v>
      </x:c>
      <x:c r="I39" s="28" t="n">
        <x:v>361.1</x:v>
      </x:c>
      <x:c r="J39" s="28" t="n">
        <x:v>290.6</x:v>
      </x:c>
      <x:c r="K39" s="28" t="n">
        <x:v>70.5</x:v>
      </x:c>
      <x:c r="L39" s="28" t="n">
        <x:v>0</x:v>
      </x:c>
      <x:c r="M39" s="28" t="n">
        <x:v>70.5</x:v>
      </x:c>
      <x:c r="N39" s="28"/>
      <x:c r="O39" s="26" t="str">
        <x:v>ADP_NOT_LOADED</x:v>
      </x:c>
      <x:c r="P39" s="26" t="str">
        <x:v>Projection-only v1.0</x:v>
      </x:c>
    </x:row>
    <x:row r="40">
      <x:c r="A40" s="26" t="str">
        <x:v>half_ppr</x:v>
      </x:c>
      <x:c r="B40" s="26" t="n">
        <x:v>36</x:v>
      </x:c>
      <x:c r="C40" s="26" t="n">
        <x:v>3</x:v>
      </x:c>
      <x:c r="D40" s="26" t="n">
        <x:v>18</x:v>
      </x:c>
      <x:c r="E40" s="26" t="n">
        <x:v>2</x:v>
      </x:c>
      <x:c r="F40" s="26" t="str">
        <x:v>Marvin Harrison Jr.</x:v>
      </x:c>
      <x:c r="G40" s="26" t="str">
        <x:v>ARI</x:v>
      </x:c>
      <x:c r="H40" s="26" t="str">
        <x:v>WR</x:v>
      </x:c>
      <x:c r="I40" s="28" t="n">
        <x:v>180.6</x:v>
      </x:c>
      <x:c r="J40" s="28" t="n">
        <x:v>110.6</x:v>
      </x:c>
      <x:c r="K40" s="28" t="n">
        <x:v>70</x:v>
      </x:c>
      <x:c r="L40" s="28" t="n">
        <x:v>0</x:v>
      </x:c>
      <x:c r="M40" s="28" t="n">
        <x:v>70</x:v>
      </x:c>
      <x:c r="N40" s="28"/>
      <x:c r="O40" s="26" t="str">
        <x:v>ADP_NOT_LOADED</x:v>
      </x:c>
      <x:c r="P40" s="26" t="str">
        <x:v>Projection-only v1.0</x:v>
      </x:c>
    </x:row>
    <x:row r="41">
      <x:c r="A41" s="26" t="str">
        <x:v>half_ppr</x:v>
      </x:c>
      <x:c r="B41" s="26" t="n">
        <x:v>37</x:v>
      </x:c>
      <x:c r="C41" s="26" t="n">
        <x:v>3</x:v>
      </x:c>
      <x:c r="D41" s="26" t="n">
        <x:v>16</x:v>
      </x:c>
      <x:c r="E41" s="26" t="n">
        <x:v>2</x:v>
      </x:c>
      <x:c r="F41" s="26" t="str">
        <x:v>Garrett Wilson</x:v>
      </x:c>
      <x:c r="G41" s="26" t="str">
        <x:v>NYJ</x:v>
      </x:c>
      <x:c r="H41" s="26" t="str">
        <x:v>WR</x:v>
      </x:c>
      <x:c r="I41" s="28" t="n">
        <x:v>180.3</x:v>
      </x:c>
      <x:c r="J41" s="28" t="n">
        <x:v>110.6</x:v>
      </x:c>
      <x:c r="K41" s="28" t="n">
        <x:v>69.70000000000002</x:v>
      </x:c>
      <x:c r="L41" s="28" t="n">
        <x:v>0</x:v>
      </x:c>
      <x:c r="M41" s="28" t="n">
        <x:v>69.70000000000002</x:v>
      </x:c>
      <x:c r="N41" s="28"/>
      <x:c r="O41" s="26" t="str">
        <x:v>ADP_NOT_LOADED</x:v>
      </x:c>
      <x:c r="P41" s="26" t="str">
        <x:v>Projection-only v1.0</x:v>
      </x:c>
    </x:row>
    <x:row r="42">
      <x:c r="A42" s="26" t="str">
        <x:v>half_ppr</x:v>
      </x:c>
      <x:c r="B42" s="26" t="n">
        <x:v>38</x:v>
      </x:c>
      <x:c r="C42" s="26" t="n">
        <x:v>3</x:v>
      </x:c>
      <x:c r="D42" s="26" t="n">
        <x:v>19</x:v>
      </x:c>
      <x:c r="E42" s="26" t="n">
        <x:v>3</x:v>
      </x:c>
      <x:c r="F42" s="26" t="str">
        <x:v>Tetairoa McMillan</x:v>
      </x:c>
      <x:c r="G42" s="26" t="str">
        <x:v>CAR</x:v>
      </x:c>
      <x:c r="H42" s="26" t="str">
        <x:v>WR</x:v>
      </x:c>
      <x:c r="I42" s="28" t="n">
        <x:v>178.8</x:v>
      </x:c>
      <x:c r="J42" s="28" t="n">
        <x:v>110.6</x:v>
      </x:c>
      <x:c r="K42" s="28" t="n">
        <x:v>68.20000000000002</x:v>
      </x:c>
      <x:c r="L42" s="28" t="n">
        <x:v>0</x:v>
      </x:c>
      <x:c r="M42" s="28" t="n">
        <x:v>68.20000000000002</x:v>
      </x:c>
      <x:c r="N42" s="28"/>
      <x:c r="O42" s="26" t="str">
        <x:v>ADP_NOT_LOADED</x:v>
      </x:c>
      <x:c r="P42" s="26" t="str">
        <x:v>Projection-only v1.0</x:v>
      </x:c>
    </x:row>
    <x:row r="43">
      <x:c r="A43" s="26" t="str">
        <x:v>half_ppr</x:v>
      </x:c>
      <x:c r="B43" s="26" t="n">
        <x:v>39</x:v>
      </x:c>
      <x:c r="C43" s="26" t="n">
        <x:v>3</x:v>
      </x:c>
      <x:c r="D43" s="26" t="n">
        <x:v>21</x:v>
      </x:c>
      <x:c r="E43" s="26" t="n">
        <x:v>3</x:v>
      </x:c>
      <x:c r="F43" s="26" t="str">
        <x:v>David Montgomery</x:v>
      </x:c>
      <x:c r="G43" s="26" t="str">
        <x:v>HOU</x:v>
      </x:c>
      <x:c r="H43" s="26" t="str">
        <x:v>RB</x:v>
      </x:c>
      <x:c r="I43" s="28" t="n">
        <x:v>191.4</x:v>
      </x:c>
      <x:c r="J43" s="28" t="n">
        <x:v>124.5</x:v>
      </x:c>
      <x:c r="K43" s="28" t="n">
        <x:v>66.9</x:v>
      </x:c>
      <x:c r="L43" s="28" t="n">
        <x:v>0</x:v>
      </x:c>
      <x:c r="M43" s="28" t="n">
        <x:v>66.9</x:v>
      </x:c>
      <x:c r="N43" s="28"/>
      <x:c r="O43" s="26" t="str">
        <x:v>ADP_NOT_LOADED</x:v>
      </x:c>
      <x:c r="P43" s="26" t="str">
        <x:v>Projection-only v1.0</x:v>
      </x:c>
    </x:row>
    <x:row r="44">
      <x:c r="A44" s="26" t="str">
        <x:v>half_ppr</x:v>
      </x:c>
      <x:c r="B44" s="26" t="n">
        <x:v>40</x:v>
      </x:c>
      <x:c r="C44" s="26" t="n">
        <x:v>3</x:v>
      </x:c>
      <x:c r="D44" s="26" t="n">
        <x:v>20</x:v>
      </x:c>
      <x:c r="E44" s="26" t="n">
        <x:v>3</x:v>
      </x:c>
      <x:c r="F44" s="26" t="str">
        <x:v>Emeka Egbuka</x:v>
      </x:c>
      <x:c r="G44" s="26" t="str">
        <x:v>TB</x:v>
      </x:c>
      <x:c r="H44" s="26" t="str">
        <x:v>WR</x:v>
      </x:c>
      <x:c r="I44" s="28" t="n">
        <x:v>177.5</x:v>
      </x:c>
      <x:c r="J44" s="28" t="n">
        <x:v>110.6</x:v>
      </x:c>
      <x:c r="K44" s="28" t="n">
        <x:v>66.9</x:v>
      </x:c>
      <x:c r="L44" s="28" t="n">
        <x:v>0</x:v>
      </x:c>
      <x:c r="M44" s="28" t="n">
        <x:v>66.9</x:v>
      </x:c>
      <x:c r="N44" s="28"/>
      <x:c r="O44" s="26" t="str">
        <x:v>ADP_NOT_LOADED</x:v>
      </x:c>
      <x:c r="P44" s="26" t="str">
        <x:v>Projection-only v1.0</x:v>
      </x:c>
    </x:row>
    <x:row r="45">
      <x:c r="A45" s="26" t="str">
        <x:v>half_ppr</x:v>
      </x:c>
      <x:c r="B45" s="26" t="n">
        <x:v>41</x:v>
      </x:c>
      <x:c r="C45" s="26" t="n">
        <x:v>3</x:v>
      </x:c>
      <x:c r="D45" s="26" t="n">
        <x:v>19</x:v>
      </x:c>
      <x:c r="E45" s="26" t="n">
        <x:v>3</x:v>
      </x:c>
      <x:c r="F45" s="26" t="str">
        <x:v>Bucky Irving</x:v>
      </x:c>
      <x:c r="G45" s="26" t="str">
        <x:v>TB</x:v>
      </x:c>
      <x:c r="H45" s="26" t="str">
        <x:v>RB</x:v>
      </x:c>
      <x:c r="I45" s="28" t="n">
        <x:v>190.9</x:v>
      </x:c>
      <x:c r="J45" s="28" t="n">
        <x:v>124.5</x:v>
      </x:c>
      <x:c r="K45" s="28" t="n">
        <x:v>66.4</x:v>
      </x:c>
      <x:c r="L45" s="28" t="n">
        <x:v>0</x:v>
      </x:c>
      <x:c r="M45" s="28" t="n">
        <x:v>66.4</x:v>
      </x:c>
      <x:c r="N45" s="28"/>
      <x:c r="O45" s="26" t="str">
        <x:v>ADP_NOT_LOADED</x:v>
      </x:c>
      <x:c r="P45" s="26" t="str">
        <x:v>Projection-only v1.0</x:v>
      </x:c>
    </x:row>
    <x:row r="46">
      <x:c r="A46" s="26" t="str">
        <x:v>half_ppr</x:v>
      </x:c>
      <x:c r="B46" s="26" t="n">
        <x:v>42</x:v>
      </x:c>
      <x:c r="C46" s="26" t="n">
        <x:v>3</x:v>
      </x:c>
      <x:c r="D46" s="26" t="n">
        <x:v>22</x:v>
      </x:c>
      <x:c r="E46" s="26" t="n">
        <x:v>3</x:v>
      </x:c>
      <x:c r="F46" s="26" t="str">
        <x:v>DJ Moore</x:v>
      </x:c>
      <x:c r="G46" s="26" t="str">
        <x:v>BUF</x:v>
      </x:c>
      <x:c r="H46" s="26" t="str">
        <x:v>WR</x:v>
      </x:c>
      <x:c r="I46" s="28" t="n">
        <x:v>173.8</x:v>
      </x:c>
      <x:c r="J46" s="28" t="n">
        <x:v>110.6</x:v>
      </x:c>
      <x:c r="K46" s="28" t="n">
        <x:v>63.20000000000002</x:v>
      </x:c>
      <x:c r="L46" s="28" t="n">
        <x:v>0</x:v>
      </x:c>
      <x:c r="M46" s="28" t="n">
        <x:v>63.20000000000002</x:v>
      </x:c>
      <x:c r="N46" s="28"/>
      <x:c r="O46" s="26" t="str">
        <x:v>ADP_NOT_LOADED</x:v>
      </x:c>
      <x:c r="P46" s="26" t="str">
        <x:v>Projection-only v1.0</x:v>
      </x:c>
    </x:row>
    <x:row r="47">
      <x:c r="A47" s="26" t="str">
        <x:v>half_ppr</x:v>
      </x:c>
      <x:c r="B47" s="26" t="n">
        <x:v>43</x:v>
      </x:c>
      <x:c r="C47" s="26" t="n">
        <x:v>3</x:v>
      </x:c>
      <x:c r="D47" s="26" t="n">
        <x:v>21</x:v>
      </x:c>
      <x:c r="E47" s="26" t="n">
        <x:v>3</x:v>
      </x:c>
      <x:c r="F47" s="26" t="str">
        <x:v>Luther Burden III</x:v>
      </x:c>
      <x:c r="G47" s="26" t="str">
        <x:v>CHI</x:v>
      </x:c>
      <x:c r="H47" s="26" t="str">
        <x:v>WR</x:v>
      </x:c>
      <x:c r="I47" s="28" t="n">
        <x:v>173.4</x:v>
      </x:c>
      <x:c r="J47" s="28" t="n">
        <x:v>110.6</x:v>
      </x:c>
      <x:c r="K47" s="28" t="n">
        <x:v>62.80000000000001</x:v>
      </x:c>
      <x:c r="L47" s="28" t="n">
        <x:v>0</x:v>
      </x:c>
      <x:c r="M47" s="28" t="n">
        <x:v>62.80000000000001</x:v>
      </x:c>
      <x:c r="N47" s="28"/>
      <x:c r="O47" s="26" t="str">
        <x:v>ADP_NOT_LOADED</x:v>
      </x:c>
      <x:c r="P47" s="26" t="str">
        <x:v>Projection-only v1.0</x:v>
      </x:c>
    </x:row>
    <x:row r="48">
      <x:c r="A48" s="26" t="str">
        <x:v>half_ppr</x:v>
      </x:c>
      <x:c r="B48" s="26" t="n">
        <x:v>44</x:v>
      </x:c>
      <x:c r="C48" s="26" t="n">
        <x:v>3</x:v>
      </x:c>
      <x:c r="D48" s="26" t="n">
        <x:v>20</x:v>
      </x:c>
      <x:c r="E48" s="26" t="n">
        <x:v>3</x:v>
      </x:c>
      <x:c r="F48" s="26" t="str">
        <x:v>TreVeyon Henderson</x:v>
      </x:c>
      <x:c r="G48" s="26" t="str">
        <x:v>NE</x:v>
      </x:c>
      <x:c r="H48" s="26" t="str">
        <x:v>RB</x:v>
      </x:c>
      <x:c r="I48" s="28" t="n">
        <x:v>186.2</x:v>
      </x:c>
      <x:c r="J48" s="28" t="n">
        <x:v>124.5</x:v>
      </x:c>
      <x:c r="K48" s="28" t="n">
        <x:v>61.69999999999999</x:v>
      </x:c>
      <x:c r="L48" s="28" t="n">
        <x:v>0</x:v>
      </x:c>
      <x:c r="M48" s="28" t="n">
        <x:v>61.69999999999999</x:v>
      </x:c>
      <x:c r="N48" s="28"/>
      <x:c r="O48" s="26" t="str">
        <x:v>ADP_NOT_LOADED</x:v>
      </x:c>
      <x:c r="P48" s="26" t="str">
        <x:v>Projection-only v1.0</x:v>
      </x:c>
    </x:row>
    <x:row r="49">
      <x:c r="A49" s="26" t="str">
        <x:v>half_ppr</x:v>
      </x:c>
      <x:c r="B49" s="26" t="n">
        <x:v>45</x:v>
      </x:c>
      <x:c r="C49" s="26" t="n">
        <x:v>3</x:v>
      </x:c>
      <x:c r="D49" s="26" t="n">
        <x:v>25</x:v>
      </x:c>
      <x:c r="E49" s="26" t="n">
        <x:v>3</x:v>
      </x:c>
      <x:c r="F49" s="26" t="str">
        <x:v>Jameson Williams</x:v>
      </x:c>
      <x:c r="G49" s="26" t="str">
        <x:v>DET</x:v>
      </x:c>
      <x:c r="H49" s="26" t="str">
        <x:v>WR</x:v>
      </x:c>
      <x:c r="I49" s="28" t="n">
        <x:v>172.2</x:v>
      </x:c>
      <x:c r="J49" s="28" t="n">
        <x:v>110.6</x:v>
      </x:c>
      <x:c r="K49" s="28" t="n">
        <x:v>61.599999999999994</x:v>
      </x:c>
      <x:c r="L49" s="28" t="n">
        <x:v>0</x:v>
      </x:c>
      <x:c r="M49" s="28" t="n">
        <x:v>61.599999999999994</x:v>
      </x:c>
      <x:c r="N49" s="28"/>
      <x:c r="O49" s="26" t="str">
        <x:v>ADP_NOT_LOADED</x:v>
      </x:c>
      <x:c r="P49" s="26" t="str">
        <x:v>Projection-only v1.0</x:v>
      </x:c>
    </x:row>
    <x:row r="50">
      <x:c r="A50" s="26" t="str">
        <x:v>half_ppr</x:v>
      </x:c>
      <x:c r="B50" s="26" t="n">
        <x:v>46</x:v>
      </x:c>
      <x:c r="C50" s="26" t="n">
        <x:v>3</x:v>
      </x:c>
      <x:c r="D50" s="26" t="n">
        <x:v>23</x:v>
      </x:c>
      <x:c r="E50" s="26" t="n">
        <x:v>3</x:v>
      </x:c>
      <x:c r="F50" s="26" t="str">
        <x:v>Terry McLaurin</x:v>
      </x:c>
      <x:c r="G50" s="26" t="str">
        <x:v>WAS</x:v>
      </x:c>
      <x:c r="H50" s="26" t="str">
        <x:v>WR</x:v>
      </x:c>
      <x:c r="I50" s="28" t="n">
        <x:v>170.2</x:v>
      </x:c>
      <x:c r="J50" s="28" t="n">
        <x:v>110.6</x:v>
      </x:c>
      <x:c r="K50" s="28" t="n">
        <x:v>59.599999999999994</x:v>
      </x:c>
      <x:c r="L50" s="28" t="n">
        <x:v>0</x:v>
      </x:c>
      <x:c r="M50" s="28" t="n">
        <x:v>59.599999999999994</x:v>
      </x:c>
      <x:c r="N50" s="28"/>
      <x:c r="O50" s="26" t="str">
        <x:v>ADP_NOT_LOADED</x:v>
      </x:c>
      <x:c r="P50" s="26" t="str">
        <x:v>Projection-only v1.0</x:v>
      </x:c>
    </x:row>
    <x:row r="51">
      <x:c r="A51" s="26" t="str">
        <x:v>half_ppr</x:v>
      </x:c>
      <x:c r="B51" s="26" t="n">
        <x:v>47</x:v>
      </x:c>
      <x:c r="C51" s="26" t="n">
        <x:v>3</x:v>
      </x:c>
      <x:c r="D51" s="26" t="n">
        <x:v>23</x:v>
      </x:c>
      <x:c r="E51" s="26" t="n">
        <x:v>3</x:v>
      </x:c>
      <x:c r="F51" s="26" t="str">
        <x:v>Quinshon Judkins</x:v>
      </x:c>
      <x:c r="G51" s="26" t="str">
        <x:v>CLE</x:v>
      </x:c>
      <x:c r="H51" s="26" t="str">
        <x:v>RB</x:v>
      </x:c>
      <x:c r="I51" s="28" t="n">
        <x:v>184</x:v>
      </x:c>
      <x:c r="J51" s="28" t="n">
        <x:v>124.5</x:v>
      </x:c>
      <x:c r="K51" s="28" t="n">
        <x:v>59.5</x:v>
      </x:c>
      <x:c r="L51" s="28" t="n">
        <x:v>0</x:v>
      </x:c>
      <x:c r="M51" s="28" t="n">
        <x:v>59.5</x:v>
      </x:c>
      <x:c r="N51" s="28"/>
      <x:c r="O51" s="26" t="str">
        <x:v>ADP_NOT_LOADED</x:v>
      </x:c>
      <x:c r="P51" s="26" t="str">
        <x:v>Projection-only v1.0</x:v>
      </x:c>
    </x:row>
    <x:row r="52">
      <x:c r="A52" s="26" t="str">
        <x:v>half_ppr</x:v>
      </x:c>
      <x:c r="B52" s="26" t="n">
        <x:v>48</x:v>
      </x:c>
      <x:c r="C52" s="26" t="n">
        <x:v>3</x:v>
      </x:c>
      <x:c r="D52" s="26" t="n">
        <x:v>1</x:v>
      </x:c>
      <x:c r="E52" s="26" t="n">
        <x:v>1</x:v>
      </x:c>
      <x:c r="F52" s="26" t="str">
        <x:v>Trey McBride</x:v>
      </x:c>
      <x:c r="G52" s="26" t="str">
        <x:v>ARI</x:v>
      </x:c>
      <x:c r="H52" s="26" t="str">
        <x:v>TE</x:v>
      </x:c>
      <x:c r="I52" s="28" t="n">
        <x:v>202.7</x:v>
      </x:c>
      <x:c r="J52" s="28" t="n">
        <x:v>143.3</x:v>
      </x:c>
      <x:c r="K52" s="28" t="n">
        <x:v>59.39999999999998</x:v>
      </x:c>
      <x:c r="L52" s="28" t="n">
        <x:v>0</x:v>
      </x:c>
      <x:c r="M52" s="28" t="n">
        <x:v>59.39999999999998</x:v>
      </x:c>
      <x:c r="N52" s="28"/>
      <x:c r="O52" s="26" t="str">
        <x:v>ADP_NOT_LOADED</x:v>
      </x:c>
      <x:c r="P52" s="26" t="str">
        <x:v>Projection-only v1.0</x:v>
      </x:c>
    </x:row>
    <x:row r="53">
      <x:c r="A53" s="26" t="str">
        <x:v>half_ppr</x:v>
      </x:c>
      <x:c r="B53" s="26" t="n">
        <x:v>49</x:v>
      </x:c>
      <x:c r="C53" s="26" t="n">
        <x:v>4</x:v>
      </x:c>
      <x:c r="D53" s="26" t="n">
        <x:v>22</x:v>
      </x:c>
      <x:c r="E53" s="26" t="n">
        <x:v>3</x:v>
      </x:c>
      <x:c r="F53" s="26" t="str">
        <x:v>Travis Etienne Jr.</x:v>
      </x:c>
      <x:c r="G53" s="26" t="str">
        <x:v>NO</x:v>
      </x:c>
      <x:c r="H53" s="26" t="str">
        <x:v>RB</x:v>
      </x:c>
      <x:c r="I53" s="28" t="n">
        <x:v>183.5</x:v>
      </x:c>
      <x:c r="J53" s="28" t="n">
        <x:v>124.5</x:v>
      </x:c>
      <x:c r="K53" s="28" t="n">
        <x:v>59</x:v>
      </x:c>
      <x:c r="L53" s="28" t="n">
        <x:v>0</x:v>
      </x:c>
      <x:c r="M53" s="28" t="n">
        <x:v>59</x:v>
      </x:c>
      <x:c r="N53" s="28"/>
      <x:c r="O53" s="26" t="str">
        <x:v>ADP_NOT_LOADED</x:v>
      </x:c>
      <x:c r="P53" s="26" t="str">
        <x:v>Projection-only v1.0</x:v>
      </x:c>
    </x:row>
    <x:row r="54">
      <x:c r="A54" s="26" t="str">
        <x:v>half_ppr</x:v>
      </x:c>
      <x:c r="B54" s="26" t="n">
        <x:v>50</x:v>
      </x:c>
      <x:c r="C54" s="26" t="n">
        <x:v>4</x:v>
      </x:c>
      <x:c r="D54" s="26" t="n">
        <x:v>27</x:v>
      </x:c>
      <x:c r="E54" s="26" t="n">
        <x:v>3</x:v>
      </x:c>
      <x:c r="F54" s="26" t="str">
        <x:v>Mike Evans</x:v>
      </x:c>
      <x:c r="G54" s="26" t="str">
        <x:v>SF</x:v>
      </x:c>
      <x:c r="H54" s="26" t="str">
        <x:v>WR</x:v>
      </x:c>
      <x:c r="I54" s="28" t="n">
        <x:v>168.8</x:v>
      </x:c>
      <x:c r="J54" s="28" t="n">
        <x:v>110.6</x:v>
      </x:c>
      <x:c r="K54" s="28" t="n">
        <x:v>58.20000000000002</x:v>
      </x:c>
      <x:c r="L54" s="28" t="n">
        <x:v>0</x:v>
      </x:c>
      <x:c r="M54" s="28" t="n">
        <x:v>58.20000000000002</x:v>
      </x:c>
      <x:c r="N54" s="28"/>
      <x:c r="O54" s="26" t="str">
        <x:v>ADP_NOT_LOADED</x:v>
      </x:c>
      <x:c r="P54" s="26" t="str">
        <x:v>Projection-only v1.0</x:v>
      </x:c>
    </x:row>
    <x:row r="55">
      <x:c r="A55" s="26" t="str">
        <x:v>half_ppr</x:v>
      </x:c>
      <x:c r="B55" s="26" t="n">
        <x:v>51</x:v>
      </x:c>
      <x:c r="C55" s="26" t="n">
        <x:v>4</x:v>
      </x:c>
      <x:c r="D55" s="26" t="n">
        <x:v>24</x:v>
      </x:c>
      <x:c r="E55" s="26" t="n">
        <x:v>3</x:v>
      </x:c>
      <x:c r="F55" s="26" t="str">
        <x:v>Malik Nabers</x:v>
      </x:c>
      <x:c r="G55" s="26" t="str">
        <x:v>NYG</x:v>
      </x:c>
      <x:c r="H55" s="26" t="str">
        <x:v>WR</x:v>
      </x:c>
      <x:c r="I55" s="28" t="n">
        <x:v>167.1</x:v>
      </x:c>
      <x:c r="J55" s="28" t="n">
        <x:v>110.6</x:v>
      </x:c>
      <x:c r="K55" s="28" t="n">
        <x:v>56.5</x:v>
      </x:c>
      <x:c r="L55" s="28" t="n">
        <x:v>0</x:v>
      </x:c>
      <x:c r="M55" s="28" t="n">
        <x:v>56.5</x:v>
      </x:c>
      <x:c r="N55" s="28"/>
      <x:c r="O55" s="26" t="str">
        <x:v>ADP_NOT_LOADED</x:v>
      </x:c>
      <x:c r="P55" s="26" t="str">
        <x:v>Projection-only v1.0</x:v>
      </x:c>
    </x:row>
    <x:row r="56">
      <x:c r="A56" s="26" t="str">
        <x:v>half_ppr</x:v>
      </x:c>
      <x:c r="B56" s="26" t="n">
        <x:v>52</x:v>
      </x:c>
      <x:c r="C56" s="26" t="n">
        <x:v>4</x:v>
      </x:c>
      <x:c r="D56" s="26" t="n">
        <x:v>26</x:v>
      </x:c>
      <x:c r="E56" s="26" t="n">
        <x:v>3</x:v>
      </x:c>
      <x:c r="F56" s="26" t="str">
        <x:v>Jaylen Waddle</x:v>
      </x:c>
      <x:c r="G56" s="26" t="str">
        <x:v>DEN</x:v>
      </x:c>
      <x:c r="H56" s="26" t="str">
        <x:v>WR</x:v>
      </x:c>
      <x:c r="I56" s="28" t="n">
        <x:v>166.4</x:v>
      </x:c>
      <x:c r="J56" s="28" t="n">
        <x:v>110.6</x:v>
      </x:c>
      <x:c r="K56" s="28" t="n">
        <x:v>55.80000000000001</x:v>
      </x:c>
      <x:c r="L56" s="28" t="n">
        <x:v>0</x:v>
      </x:c>
      <x:c r="M56" s="28" t="n">
        <x:v>55.80000000000001</x:v>
      </x:c>
      <x:c r="N56" s="28"/>
      <x:c r="O56" s="26" t="str">
        <x:v>ADP_NOT_LOADED</x:v>
      </x:c>
      <x:c r="P56" s="26" t="str">
        <x:v>Projection-only v1.0</x:v>
      </x:c>
    </x:row>
    <x:row r="57">
      <x:c r="A57" s="26" t="str">
        <x:v>half_ppr</x:v>
      </x:c>
      <x:c r="B57" s="26" t="n">
        <x:v>53</x:v>
      </x:c>
      <x:c r="C57" s="26" t="n">
        <x:v>4</x:v>
      </x:c>
      <x:c r="D57" s="26" t="n">
        <x:v>2</x:v>
      </x:c>
      <x:c r="E57" s="26" t="n">
        <x:v>1</x:v>
      </x:c>
      <x:c r="F57" s="26" t="str">
        <x:v>Brock Bowers</x:v>
      </x:c>
      <x:c r="G57" s="26" t="str">
        <x:v>LV</x:v>
      </x:c>
      <x:c r="H57" s="26" t="str">
        <x:v>TE</x:v>
      </x:c>
      <x:c r="I57" s="28" t="n">
        <x:v>196</x:v>
      </x:c>
      <x:c r="J57" s="28" t="n">
        <x:v>143.3</x:v>
      </x:c>
      <x:c r="K57" s="28" t="n">
        <x:v>52.69999999999999</x:v>
      </x:c>
      <x:c r="L57" s="28" t="n">
        <x:v>0</x:v>
      </x:c>
      <x:c r="M57" s="28" t="n">
        <x:v>52.69999999999999</x:v>
      </x:c>
      <x:c r="N57" s="28"/>
      <x:c r="O57" s="26" t="str">
        <x:v>ADP_NOT_LOADED</x:v>
      </x:c>
      <x:c r="P57" s="26" t="str">
        <x:v>Projection-only v1.0</x:v>
      </x:c>
    </x:row>
    <x:row r="58">
      <x:c r="A58" s="26" t="str">
        <x:v>half_ppr</x:v>
      </x:c>
      <x:c r="B58" s="26" t="n">
        <x:v>54</x:v>
      </x:c>
      <x:c r="C58" s="26" t="n">
        <x:v>4</x:v>
      </x:c>
      <x:c r="D58" s="26" t="n">
        <x:v>29</x:v>
      </x:c>
      <x:c r="E58" s="26" t="n">
        <x:v>3</x:v>
      </x:c>
      <x:c r="F58" s="26" t="str">
        <x:v>Courtland Sutton</x:v>
      </x:c>
      <x:c r="G58" s="26" t="str">
        <x:v>DEN</x:v>
      </x:c>
      <x:c r="H58" s="26" t="str">
        <x:v>WR</x:v>
      </x:c>
      <x:c r="I58" s="28" t="n">
        <x:v>163</x:v>
      </x:c>
      <x:c r="J58" s="28" t="n">
        <x:v>110.6</x:v>
      </x:c>
      <x:c r="K58" s="28" t="n">
        <x:v>52.400000000000006</x:v>
      </x:c>
      <x:c r="L58" s="28" t="n">
        <x:v>0</x:v>
      </x:c>
      <x:c r="M58" s="28" t="n">
        <x:v>52.400000000000006</x:v>
      </x:c>
      <x:c r="N58" s="28"/>
      <x:c r="O58" s="26" t="str">
        <x:v>ADP_NOT_LOADED</x:v>
      </x:c>
      <x:c r="P58" s="26" t="str">
        <x:v>Projection-only v1.0</x:v>
      </x:c>
    </x:row>
    <x:row r="59">
      <x:c r="A59" s="26" t="str">
        <x:v>half_ppr</x:v>
      </x:c>
      <x:c r="B59" s="26" t="n">
        <x:v>55</x:v>
      </x:c>
      <x:c r="C59" s="26" t="n">
        <x:v>4</x:v>
      </x:c>
      <x:c r="D59" s="26" t="n">
        <x:v>28</x:v>
      </x:c>
      <x:c r="E59" s="26" t="n">
        <x:v>3</x:v>
      </x:c>
      <x:c r="F59" s="26" t="str">
        <x:v>Ladd McConkey</x:v>
      </x:c>
      <x:c r="G59" s="26" t="str">
        <x:v>LAC</x:v>
      </x:c>
      <x:c r="H59" s="26" t="str">
        <x:v>WR</x:v>
      </x:c>
      <x:c r="I59" s="28" t="n">
        <x:v>162</x:v>
      </x:c>
      <x:c r="J59" s="28" t="n">
        <x:v>110.6</x:v>
      </x:c>
      <x:c r="K59" s="28" t="n">
        <x:v>51.400000000000006</x:v>
      </x:c>
      <x:c r="L59" s="28" t="n">
        <x:v>0</x:v>
      </x:c>
      <x:c r="M59" s="28" t="n">
        <x:v>51.400000000000006</x:v>
      </x:c>
      <x:c r="N59" s="28"/>
      <x:c r="O59" s="26" t="str">
        <x:v>ADP_NOT_LOADED</x:v>
      </x:c>
      <x:c r="P59" s="26" t="str">
        <x:v>Projection-only v1.0</x:v>
      </x:c>
    </x:row>
    <x:row r="60">
      <x:c r="A60" s="26" t="str">
        <x:v>half_ppr</x:v>
      </x:c>
      <x:c r="B60" s="26" t="n">
        <x:v>56</x:v>
      </x:c>
      <x:c r="C60" s="26" t="n">
        <x:v>4</x:v>
      </x:c>
      <x:c r="D60" s="26" t="n">
        <x:v>31</x:v>
      </x:c>
      <x:c r="E60" s="26" t="n">
        <x:v>3</x:v>
      </x:c>
      <x:c r="F60" s="26" t="str">
        <x:v>Davante Adams</x:v>
      </x:c>
      <x:c r="G60" s="26" t="str">
        <x:v>LAR</x:v>
      </x:c>
      <x:c r="H60" s="26" t="str">
        <x:v>WR</x:v>
      </x:c>
      <x:c r="I60" s="28" t="n">
        <x:v>161.3</x:v>
      </x:c>
      <x:c r="J60" s="28" t="n">
        <x:v>110.6</x:v>
      </x:c>
      <x:c r="K60" s="28" t="n">
        <x:v>50.70000000000002</x:v>
      </x:c>
      <x:c r="L60" s="28" t="n">
        <x:v>0</x:v>
      </x:c>
      <x:c r="M60" s="28" t="n">
        <x:v>50.70000000000002</x:v>
      </x:c>
      <x:c r="N60" s="28"/>
      <x:c r="O60" s="26" t="str">
        <x:v>ADP_NOT_LOADED</x:v>
      </x:c>
      <x:c r="P60" s="26" t="str">
        <x:v>Projection-only v1.0</x:v>
      </x:c>
    </x:row>
    <x:row r="61">
      <x:c r="A61" s="26" t="str">
        <x:v>half_ppr</x:v>
      </x:c>
      <x:c r="B61" s="26" t="n">
        <x:v>57</x:v>
      </x:c>
      <x:c r="C61" s="26" t="n">
        <x:v>4</x:v>
      </x:c>
      <x:c r="D61" s="26" t="n">
        <x:v>25</x:v>
      </x:c>
      <x:c r="E61" s="26" t="n">
        <x:v>3</x:v>
      </x:c>
      <x:c r="F61" s="26" t="str">
        <x:v>Bhayshul Tuten</x:v>
      </x:c>
      <x:c r="G61" s="26" t="str">
        <x:v>JAX</x:v>
      </x:c>
      <x:c r="H61" s="26" t="str">
        <x:v>RB</x:v>
      </x:c>
      <x:c r="I61" s="28" t="n">
        <x:v>172.2</x:v>
      </x:c>
      <x:c r="J61" s="28" t="n">
        <x:v>124.5</x:v>
      </x:c>
      <x:c r="K61" s="28" t="n">
        <x:v>47.69999999999999</x:v>
      </x:c>
      <x:c r="L61" s="28" t="n">
        <x:v>0</x:v>
      </x:c>
      <x:c r="M61" s="28" t="n">
        <x:v>47.69999999999999</x:v>
      </x:c>
      <x:c r="N61" s="28"/>
      <x:c r="O61" s="26" t="str">
        <x:v>ADP_NOT_LOADED</x:v>
      </x:c>
      <x:c r="P61" s="26" t="str">
        <x:v>Projection-only v1.0</x:v>
      </x:c>
    </x:row>
    <x:row r="62">
      <x:c r="A62" s="26" t="str">
        <x:v>half_ppr</x:v>
      </x:c>
      <x:c r="B62" s="26" t="n">
        <x:v>58</x:v>
      </x:c>
      <x:c r="C62" s="26" t="n">
        <x:v>4</x:v>
      </x:c>
      <x:c r="D62" s="26" t="n">
        <x:v>32</x:v>
      </x:c>
      <x:c r="E62" s="26" t="n">
        <x:v>3</x:v>
      </x:c>
      <x:c r="F62" s="26" t="str">
        <x:v>DK Metcalf</x:v>
      </x:c>
      <x:c r="G62" s="26" t="str">
        <x:v>PIT</x:v>
      </x:c>
      <x:c r="H62" s="26" t="str">
        <x:v>WR</x:v>
      </x:c>
      <x:c r="I62" s="28" t="n">
        <x:v>158.2</x:v>
      </x:c>
      <x:c r="J62" s="28" t="n">
        <x:v>110.6</x:v>
      </x:c>
      <x:c r="K62" s="28" t="n">
        <x:v>47.599999999999994</x:v>
      </x:c>
      <x:c r="L62" s="28" t="n">
        <x:v>0</x:v>
      </x:c>
      <x:c r="M62" s="28" t="n">
        <x:v>47.599999999999994</x:v>
      </x:c>
      <x:c r="N62" s="28"/>
      <x:c r="O62" s="26" t="str">
        <x:v>ADP_NOT_LOADED</x:v>
      </x:c>
      <x:c r="P62" s="26" t="str">
        <x:v>Projection-only v1.0</x:v>
      </x:c>
    </x:row>
    <x:row r="63">
      <x:c r="A63" s="26" t="str">
        <x:v>half_ppr</x:v>
      </x:c>
      <x:c r="B63" s="26" t="n">
        <x:v>59</x:v>
      </x:c>
      <x:c r="C63" s="26" t="n">
        <x:v>4</x:v>
      </x:c>
      <x:c r="D63" s="26" t="n">
        <x:v>24</x:v>
      </x:c>
      <x:c r="E63" s="26" t="n">
        <x:v>3</x:v>
      </x:c>
      <x:c r="F63" s="26" t="str">
        <x:v>Jaylen Warren</x:v>
      </x:c>
      <x:c r="G63" s="26" t="str">
        <x:v>PIT</x:v>
      </x:c>
      <x:c r="H63" s="26" t="str">
        <x:v>RB</x:v>
      </x:c>
      <x:c r="I63" s="28" t="n">
        <x:v>171.5</x:v>
      </x:c>
      <x:c r="J63" s="28" t="n">
        <x:v>124.5</x:v>
      </x:c>
      <x:c r="K63" s="28" t="n">
        <x:v>47</x:v>
      </x:c>
      <x:c r="L63" s="28" t="n">
        <x:v>0</x:v>
      </x:c>
      <x:c r="M63" s="28" t="n">
        <x:v>47</x:v>
      </x:c>
      <x:c r="N63" s="28"/>
      <x:c r="O63" s="26" t="str">
        <x:v>ADP_NOT_LOADED</x:v>
      </x:c>
      <x:c r="P63" s="26" t="str">
        <x:v>Projection-only v1.0</x:v>
      </x:c>
    </x:row>
    <x:row r="64">
      <x:c r="A64" s="26" t="str">
        <x:v>half_ppr</x:v>
      </x:c>
      <x:c r="B64" s="26" t="n">
        <x:v>60</x:v>
      </x:c>
      <x:c r="C64" s="26" t="n">
        <x:v>4</x:v>
      </x:c>
      <x:c r="D64" s="26" t="n">
        <x:v>33</x:v>
      </x:c>
      <x:c r="E64" s="26" t="n">
        <x:v>3</x:v>
      </x:c>
      <x:c r="F64" s="26" t="str">
        <x:v>Christian Watson</x:v>
      </x:c>
      <x:c r="G64" s="26" t="str">
        <x:v>GB</x:v>
      </x:c>
      <x:c r="H64" s="26" t="str">
        <x:v>WR</x:v>
      </x:c>
      <x:c r="I64" s="28" t="n">
        <x:v>155.6</x:v>
      </x:c>
      <x:c r="J64" s="28" t="n">
        <x:v>110.6</x:v>
      </x:c>
      <x:c r="K64" s="28" t="n">
        <x:v>45</x:v>
      </x:c>
      <x:c r="L64" s="28" t="n">
        <x:v>0</x:v>
      </x:c>
      <x:c r="M64" s="28" t="n">
        <x:v>45</x:v>
      </x:c>
      <x:c r="N64" s="28"/>
      <x:c r="O64" s="26" t="str">
        <x:v>ADP_NOT_LOADED</x:v>
      </x:c>
      <x:c r="P64" s="26" t="str">
        <x:v>Projection-only v1.0</x:v>
      </x:c>
    </x:row>
    <x:row r="65">
      <x:c r="A65" s="26" t="str">
        <x:v>half_ppr</x:v>
      </x:c>
      <x:c r="B65" s="26" t="n">
        <x:v>61</x:v>
      </x:c>
      <x:c r="C65" s="26" t="n">
        <x:v>4</x:v>
      </x:c>
      <x:c r="D65" s="26" t="n">
        <x:v>30</x:v>
      </x:c>
      <x:c r="E65" s="26" t="n">
        <x:v>3</x:v>
      </x:c>
      <x:c r="F65" s="26" t="str">
        <x:v>Wan'Dale Robinson</x:v>
      </x:c>
      <x:c r="G65" s="26" t="str">
        <x:v>TEN</x:v>
      </x:c>
      <x:c r="H65" s="26" t="str">
        <x:v>WR</x:v>
      </x:c>
      <x:c r="I65" s="28" t="n">
        <x:v>152.9</x:v>
      </x:c>
      <x:c r="J65" s="28" t="n">
        <x:v>110.6</x:v>
      </x:c>
      <x:c r="K65" s="28" t="n">
        <x:v>42.30000000000001</x:v>
      </x:c>
      <x:c r="L65" s="28" t="n">
        <x:v>0</x:v>
      </x:c>
      <x:c r="M65" s="28" t="n">
        <x:v>42.30000000000001</x:v>
      </x:c>
      <x:c r="N65" s="28"/>
      <x:c r="O65" s="26" t="str">
        <x:v>ADP_NOT_LOADED</x:v>
      </x:c>
      <x:c r="P65" s="26" t="str">
        <x:v>Projection-only v1.0</x:v>
      </x:c>
    </x:row>
    <x:row r="66">
      <x:c r="A66" s="26" t="str">
        <x:v>half_ppr</x:v>
      </x:c>
      <x:c r="B66" s="26" t="n">
        <x:v>62</x:v>
      </x:c>
      <x:c r="C66" s="26" t="n">
        <x:v>4</x:v>
      </x:c>
      <x:c r="D66" s="26" t="n">
        <x:v>26</x:v>
      </x:c>
      <x:c r="E66" s="26" t="n">
        <x:v>3</x:v>
      </x:c>
      <x:c r="F66" s="26" t="str">
        <x:v>Cam Skattebo</x:v>
      </x:c>
      <x:c r="G66" s="26" t="str">
        <x:v>NYG</x:v>
      </x:c>
      <x:c r="H66" s="26" t="str">
        <x:v>RB</x:v>
      </x:c>
      <x:c r="I66" s="28" t="n">
        <x:v>166.2</x:v>
      </x:c>
      <x:c r="J66" s="28" t="n">
        <x:v>124.5</x:v>
      </x:c>
      <x:c r="K66" s="28" t="n">
        <x:v>41.69999999999999</x:v>
      </x:c>
      <x:c r="L66" s="28" t="n">
        <x:v>0</x:v>
      </x:c>
      <x:c r="M66" s="28" t="n">
        <x:v>41.69999999999999</x:v>
      </x:c>
      <x:c r="N66" s="28"/>
      <x:c r="O66" s="26" t="str">
        <x:v>ADP_NOT_LOADED</x:v>
      </x:c>
      <x:c r="P66" s="26" t="str">
        <x:v>Projection-only v1.0</x:v>
      </x:c>
    </x:row>
    <x:row r="67">
      <x:c r="A67" s="26" t="str">
        <x:v>half_ppr</x:v>
      </x:c>
      <x:c r="B67" s="26" t="n">
        <x:v>63</x:v>
      </x:c>
      <x:c r="C67" s="26" t="n">
        <x:v>4</x:v>
      </x:c>
      <x:c r="D67" s="26" t="n">
        <x:v>36</x:v>
      </x:c>
      <x:c r="E67" s="26" t="n">
        <x:v>3</x:v>
      </x:c>
      <x:c r="F67" s="26" t="str">
        <x:v>Parker Washington</x:v>
      </x:c>
      <x:c r="G67" s="26" t="str">
        <x:v>JAX</x:v>
      </x:c>
      <x:c r="H67" s="26" t="str">
        <x:v>WR</x:v>
      </x:c>
      <x:c r="I67" s="28" t="n">
        <x:v>147.6</x:v>
      </x:c>
      <x:c r="J67" s="28" t="n">
        <x:v>110.6</x:v>
      </x:c>
      <x:c r="K67" s="28" t="n">
        <x:v>37</x:v>
      </x:c>
      <x:c r="L67" s="28" t="n">
        <x:v>0</x:v>
      </x:c>
      <x:c r="M67" s="28" t="n">
        <x:v>37</x:v>
      </x:c>
      <x:c r="N67" s="28"/>
      <x:c r="O67" s="26" t="str">
        <x:v>ADP_NOT_LOADED</x:v>
      </x:c>
      <x:c r="P67" s="26" t="str">
        <x:v>Projection-only v1.0</x:v>
      </x:c>
    </x:row>
    <x:row r="68">
      <x:c r="A68" s="26" t="str">
        <x:v>half_ppr</x:v>
      </x:c>
      <x:c r="B68" s="26" t="n">
        <x:v>64</x:v>
      </x:c>
      <x:c r="C68" s="26" t="n">
        <x:v>4</x:v>
      </x:c>
      <x:c r="D68" s="26" t="n">
        <x:v>34</x:v>
      </x:c>
      <x:c r="E68" s="26" t="n">
        <x:v>3</x:v>
      </x:c>
      <x:c r="F68" s="26" t="str">
        <x:v>Michael Wilson</x:v>
      </x:c>
      <x:c r="G68" s="26" t="str">
        <x:v>ARI</x:v>
      </x:c>
      <x:c r="H68" s="26" t="str">
        <x:v>WR</x:v>
      </x:c>
      <x:c r="I68" s="28" t="n">
        <x:v>147.3</x:v>
      </x:c>
      <x:c r="J68" s="28" t="n">
        <x:v>110.6</x:v>
      </x:c>
      <x:c r="K68" s="28" t="n">
        <x:v>36.70000000000002</x:v>
      </x:c>
      <x:c r="L68" s="28" t="n">
        <x:v>0</x:v>
      </x:c>
      <x:c r="M68" s="28" t="n">
        <x:v>36.70000000000002</x:v>
      </x:c>
      <x:c r="N68" s="28"/>
      <x:c r="O68" s="26" t="str">
        <x:v>ADP_NOT_LOADED</x:v>
      </x:c>
      <x:c r="P68" s="26" t="str">
        <x:v>Projection-only v1.0</x:v>
      </x:c>
    </x:row>
    <x:row r="69">
      <x:c r="A69" s="26" t="str">
        <x:v>half_ppr</x:v>
      </x:c>
      <x:c r="B69" s="26" t="n">
        <x:v>65</x:v>
      </x:c>
      <x:c r="C69" s="26" t="n">
        <x:v>4</x:v>
      </x:c>
      <x:c r="D69" s="26" t="n">
        <x:v>37</x:v>
      </x:c>
      <x:c r="E69" s="26" t="n">
        <x:v>4</x:v>
      </x:c>
      <x:c r="F69" s="26" t="str">
        <x:v>Brian Thomas Jr.</x:v>
      </x:c>
      <x:c r="G69" s="26" t="str">
        <x:v>JAX</x:v>
      </x:c>
      <x:c r="H69" s="26" t="str">
        <x:v>WR</x:v>
      </x:c>
      <x:c r="I69" s="28" t="n">
        <x:v>145.4</x:v>
      </x:c>
      <x:c r="J69" s="28" t="n">
        <x:v>110.6</x:v>
      </x:c>
      <x:c r="K69" s="28" t="n">
        <x:v>34.80000000000001</x:v>
      </x:c>
      <x:c r="L69" s="28" t="n">
        <x:v>0</x:v>
      </x:c>
      <x:c r="M69" s="28" t="n">
        <x:v>34.80000000000001</x:v>
      </x:c>
      <x:c r="N69" s="28"/>
      <x:c r="O69" s="26" t="str">
        <x:v>ADP_NOT_LOADED</x:v>
      </x:c>
      <x:c r="P69" s="26" t="str">
        <x:v>Projection-only v1.0</x:v>
      </x:c>
    </x:row>
    <x:row r="70">
      <x:c r="A70" s="26" t="str">
        <x:v>half_ppr</x:v>
      </x:c>
      <x:c r="B70" s="26" t="n">
        <x:v>66</x:v>
      </x:c>
      <x:c r="C70" s="26" t="n">
        <x:v>4</x:v>
      </x:c>
      <x:c r="D70" s="26" t="n">
        <x:v>27</x:v>
      </x:c>
      <x:c r="E70" s="26" t="n">
        <x:v>3</x:v>
      </x:c>
      <x:c r="F70" s="26" t="str">
        <x:v>Jadarian Price</x:v>
      </x:c>
      <x:c r="G70" s="26" t="str">
        <x:v>SEA</x:v>
      </x:c>
      <x:c r="H70" s="26" t="str">
        <x:v>RB</x:v>
      </x:c>
      <x:c r="I70" s="28" t="n">
        <x:v>158.3</x:v>
      </x:c>
      <x:c r="J70" s="28" t="n">
        <x:v>124.5</x:v>
      </x:c>
      <x:c r="K70" s="28" t="n">
        <x:v>33.80000000000001</x:v>
      </x:c>
      <x:c r="L70" s="28" t="n">
        <x:v>0</x:v>
      </x:c>
      <x:c r="M70" s="28" t="n">
        <x:v>33.80000000000001</x:v>
      </x:c>
      <x:c r="N70" s="28"/>
      <x:c r="O70" s="26" t="str">
        <x:v>ADP_NOT_LOADED</x:v>
      </x:c>
      <x:c r="P70" s="26" t="str">
        <x:v>Projection-only v1.0</x:v>
      </x:c>
    </x:row>
    <x:row r="71">
      <x:c r="A71" s="26" t="str">
        <x:v>half_ppr</x:v>
      </x:c>
      <x:c r="B71" s="26" t="n">
        <x:v>67</x:v>
      </x:c>
      <x:c r="C71" s="26" t="n">
        <x:v>4</x:v>
      </x:c>
      <x:c r="D71" s="26" t="n">
        <x:v>29</x:v>
      </x:c>
      <x:c r="E71" s="26" t="n">
        <x:v>3</x:v>
      </x:c>
      <x:c r="F71" s="26" t="str">
        <x:v>Jordan Mason</x:v>
      </x:c>
      <x:c r="G71" s="26" t="str">
        <x:v>MIN</x:v>
      </x:c>
      <x:c r="H71" s="26" t="str">
        <x:v>RB</x:v>
      </x:c>
      <x:c r="I71" s="28" t="n">
        <x:v>156.7</x:v>
      </x:c>
      <x:c r="J71" s="28" t="n">
        <x:v>124.5</x:v>
      </x:c>
      <x:c r="K71" s="28" t="n">
        <x:v>32.19999999999999</x:v>
      </x:c>
      <x:c r="L71" s="28" t="n">
        <x:v>0</x:v>
      </x:c>
      <x:c r="M71" s="28" t="n">
        <x:v>32.19999999999999</x:v>
      </x:c>
      <x:c r="N71" s="28"/>
      <x:c r="O71" s="26" t="str">
        <x:v>ADP_NOT_LOADED</x:v>
      </x:c>
      <x:c r="P71" s="26" t="str">
        <x:v>Projection-only v1.0</x:v>
      </x:c>
    </x:row>
    <x:row r="72">
      <x:c r="A72" s="26" t="str">
        <x:v>half_ppr</x:v>
      </x:c>
      <x:c r="B72" s="26" t="n">
        <x:v>68</x:v>
      </x:c>
      <x:c r="C72" s="26" t="n">
        <x:v>4</x:v>
      </x:c>
      <x:c r="D72" s="26" t="n">
        <x:v>35</x:v>
      </x:c>
      <x:c r="E72" s="26" t="n">
        <x:v>3</x:v>
      </x:c>
      <x:c r="F72" s="26" t="str">
        <x:v>Michael Pittman Jr.</x:v>
      </x:c>
      <x:c r="G72" s="26" t="str">
        <x:v>PIT</x:v>
      </x:c>
      <x:c r="H72" s="26" t="str">
        <x:v>WR</x:v>
      </x:c>
      <x:c r="I72" s="28" t="n">
        <x:v>140.6</x:v>
      </x:c>
      <x:c r="J72" s="28" t="n">
        <x:v>110.6</x:v>
      </x:c>
      <x:c r="K72" s="28" t="n">
        <x:v>30</x:v>
      </x:c>
      <x:c r="L72" s="28" t="n">
        <x:v>0</x:v>
      </x:c>
      <x:c r="M72" s="28" t="n">
        <x:v>30</x:v>
      </x:c>
      <x:c r="N72" s="28"/>
      <x:c r="O72" s="26" t="str">
        <x:v>ADP_NOT_LOADED</x:v>
      </x:c>
      <x:c r="P72" s="26" t="str">
        <x:v>Projection-only v1.0</x:v>
      </x:c>
    </x:row>
    <x:row r="73">
      <x:c r="A73" s="26" t="str">
        <x:v>half_ppr</x:v>
      </x:c>
      <x:c r="B73" s="26" t="n">
        <x:v>69</x:v>
      </x:c>
      <x:c r="C73" s="26" t="n">
        <x:v>4</x:v>
      </x:c>
      <x:c r="D73" s="26" t="n">
        <x:v>28</x:v>
      </x:c>
      <x:c r="E73" s="26" t="n">
        <x:v>3</x:v>
      </x:c>
      <x:c r="F73" s="26" t="str">
        <x:v>Jacory Croskey-Merritt</x:v>
      </x:c>
      <x:c r="G73" s="26" t="str">
        <x:v>WAS</x:v>
      </x:c>
      <x:c r="H73" s="26" t="str">
        <x:v>RB</x:v>
      </x:c>
      <x:c r="I73" s="28" t="n">
        <x:v>154.4</x:v>
      </x:c>
      <x:c r="J73" s="28" t="n">
        <x:v>124.5</x:v>
      </x:c>
      <x:c r="K73" s="28" t="n">
        <x:v>29.900000000000006</x:v>
      </x:c>
      <x:c r="L73" s="28" t="n">
        <x:v>0</x:v>
      </x:c>
      <x:c r="M73" s="28" t="n">
        <x:v>29.900000000000006</x:v>
      </x:c>
      <x:c r="N73" s="28"/>
      <x:c r="O73" s="26" t="str">
        <x:v>ADP_NOT_LOADED</x:v>
      </x:c>
      <x:c r="P73" s="26" t="str">
        <x:v>Projection-only v1.0</x:v>
      </x:c>
    </x:row>
    <x:row r="74">
      <x:c r="A74" s="26" t="str">
        <x:v>half_ppr</x:v>
      </x:c>
      <x:c r="B74" s="26" t="n">
        <x:v>70</x:v>
      </x:c>
      <x:c r="C74" s="26" t="n">
        <x:v>4</x:v>
      </x:c>
      <x:c r="D74" s="26" t="n">
        <x:v>38</x:v>
      </x:c>
      <x:c r="E74" s="26" t="n">
        <x:v>4</x:v>
      </x:c>
      <x:c r="F74" s="26" t="str">
        <x:v>Jayden Reed</x:v>
      </x:c>
      <x:c r="G74" s="26" t="str">
        <x:v>GB</x:v>
      </x:c>
      <x:c r="H74" s="26" t="str">
        <x:v>WR</x:v>
      </x:c>
      <x:c r="I74" s="28" t="n">
        <x:v>140.5</x:v>
      </x:c>
      <x:c r="J74" s="28" t="n">
        <x:v>110.6</x:v>
      </x:c>
      <x:c r="K74" s="28" t="n">
        <x:v>29.900000000000006</x:v>
      </x:c>
      <x:c r="L74" s="28" t="n">
        <x:v>0</x:v>
      </x:c>
      <x:c r="M74" s="28" t="n">
        <x:v>29.900000000000006</x:v>
      </x:c>
      <x:c r="N74" s="28"/>
      <x:c r="O74" s="26" t="str">
        <x:v>ADP_NOT_LOADED</x:v>
      </x:c>
      <x:c r="P74" s="26" t="str">
        <x:v>Projection-only v1.0</x:v>
      </x:c>
    </x:row>
    <x:row r="75">
      <x:c r="A75" s="26" t="str">
        <x:v>half_ppr</x:v>
      </x:c>
      <x:c r="B75" s="26" t="n">
        <x:v>71</x:v>
      </x:c>
      <x:c r="C75" s="26" t="n">
        <x:v>4</x:v>
      </x:c>
      <x:c r="D75" s="26" t="n">
        <x:v>2</x:v>
      </x:c>
      <x:c r="E75" s="26" t="n">
        <x:v>1</x:v>
      </x:c>
      <x:c r="F75" s="26" t="str">
        <x:v>Jayden Daniels</x:v>
      </x:c>
      <x:c r="G75" s="26" t="str">
        <x:v>WAS</x:v>
      </x:c>
      <x:c r="H75" s="26" t="str">
        <x:v>QB</x:v>
      </x:c>
      <x:c r="I75" s="28" t="n">
        <x:v>318.4</x:v>
      </x:c>
      <x:c r="J75" s="28" t="n">
        <x:v>290.6</x:v>
      </x:c>
      <x:c r="K75" s="28" t="n">
        <x:v>27.799999999999955</x:v>
      </x:c>
      <x:c r="L75" s="28" t="n">
        <x:v>0</x:v>
      </x:c>
      <x:c r="M75" s="28" t="n">
        <x:v>27.799999999999955</x:v>
      </x:c>
      <x:c r="N75" s="28"/>
      <x:c r="O75" s="26" t="str">
        <x:v>ADP_NOT_LOADED</x:v>
      </x:c>
      <x:c r="P75" s="26" t="str">
        <x:v>Projection-only v1.0</x:v>
      </x:c>
    </x:row>
    <x:row r="76">
      <x:c r="A76" s="26" t="str">
        <x:v>half_ppr</x:v>
      </x:c>
      <x:c r="B76" s="26" t="n">
        <x:v>72</x:v>
      </x:c>
      <x:c r="C76" s="26" t="n">
        <x:v>4</x:v>
      </x:c>
      <x:c r="D76" s="26" t="n">
        <x:v>3</x:v>
      </x:c>
      <x:c r="E76" s="26" t="n">
        <x:v>1</x:v>
      </x:c>
      <x:c r="F76" s="26" t="str">
        <x:v>Colston Loveland</x:v>
      </x:c>
      <x:c r="G76" s="26" t="str">
        <x:v>CHI</x:v>
      </x:c>
      <x:c r="H76" s="26" t="str">
        <x:v>TE</x:v>
      </x:c>
      <x:c r="I76" s="28" t="n">
        <x:v>169.9</x:v>
      </x:c>
      <x:c r="J76" s="28" t="n">
        <x:v>143.3</x:v>
      </x:c>
      <x:c r="K76" s="28" t="n">
        <x:v>26.599999999999994</x:v>
      </x:c>
      <x:c r="L76" s="28" t="n">
        <x:v>0</x:v>
      </x:c>
      <x:c r="M76" s="28" t="n">
        <x:v>26.599999999999994</x:v>
      </x:c>
      <x:c r="N76" s="28"/>
      <x:c r="O76" s="26" t="str">
        <x:v>ADP_NOT_LOADED</x:v>
      </x:c>
      <x:c r="P76" s="26" t="str">
        <x:v>Projection-only v1.0</x:v>
      </x:c>
    </x:row>
    <x:row r="77">
      <x:c r="A77" s="26" t="str">
        <x:v>half_ppr</x:v>
      </x:c>
      <x:c r="B77" s="26" t="n">
        <x:v>73</x:v>
      </x:c>
      <x:c r="C77" s="26" t="n">
        <x:v>5</x:v>
      </x:c>
      <x:c r="D77" s="26" t="n">
        <x:v>3</x:v>
      </x:c>
      <x:c r="E77" s="26" t="n">
        <x:v>1</x:v>
      </x:c>
      <x:c r="F77" s="26" t="str">
        <x:v>Caleb Williams</x:v>
      </x:c>
      <x:c r="G77" s="26" t="str">
        <x:v>CHI</x:v>
      </x:c>
      <x:c r="H77" s="26" t="str">
        <x:v>QB</x:v>
      </x:c>
      <x:c r="I77" s="28" t="n">
        <x:v>317.1</x:v>
      </x:c>
      <x:c r="J77" s="28" t="n">
        <x:v>290.6</x:v>
      </x:c>
      <x:c r="K77" s="28" t="n">
        <x:v>26.5</x:v>
      </x:c>
      <x:c r="L77" s="28" t="n">
        <x:v>0</x:v>
      </x:c>
      <x:c r="M77" s="28" t="n">
        <x:v>26.5</x:v>
      </x:c>
      <x:c r="N77" s="28"/>
      <x:c r="O77" s="26" t="str">
        <x:v>ADP_NOT_LOADED</x:v>
      </x:c>
      <x:c r="P77" s="26" t="str">
        <x:v>Projection-only v1.0</x:v>
      </x:c>
    </x:row>
    <x:row r="78">
      <x:c r="A78" s="26" t="str">
        <x:v>half_ppr</x:v>
      </x:c>
      <x:c r="B78" s="26" t="n">
        <x:v>74</x:v>
      </x:c>
      <x:c r="C78" s="26" t="n">
        <x:v>5</x:v>
      </x:c>
      <x:c r="D78" s="26" t="n">
        <x:v>4</x:v>
      </x:c>
      <x:c r="E78" s="26" t="n">
        <x:v>2</x:v>
      </x:c>
      <x:c r="F78" s="26" t="str">
        <x:v>Lamar Jackson</x:v>
      </x:c>
      <x:c r="G78" s="26" t="str">
        <x:v>BAL</x:v>
      </x:c>
      <x:c r="H78" s="26" t="str">
        <x:v>QB</x:v>
      </x:c>
      <x:c r="I78" s="28" t="n">
        <x:v>316.9</x:v>
      </x:c>
      <x:c r="J78" s="28" t="n">
        <x:v>290.6</x:v>
      </x:c>
      <x:c r="K78" s="28" t="n">
        <x:v>26.299999999999955</x:v>
      </x:c>
      <x:c r="L78" s="28" t="n">
        <x:v>0</x:v>
      </x:c>
      <x:c r="M78" s="28" t="n">
        <x:v>26.299999999999955</x:v>
      </x:c>
      <x:c r="N78" s="28"/>
      <x:c r="O78" s="26" t="str">
        <x:v>ADP_NOT_LOADED</x:v>
      </x:c>
      <x:c r="P78" s="26" t="str">
        <x:v>Projection-only v1.0</x:v>
      </x:c>
    </x:row>
    <x:row r="79">
      <x:c r="A79" s="26" t="str">
        <x:v>half_ppr</x:v>
      </x:c>
      <x:c r="B79" s="26" t="n">
        <x:v>75</x:v>
      </x:c>
      <x:c r="C79" s="26" t="n">
        <x:v>5</x:v>
      </x:c>
      <x:c r="D79" s="26" t="n">
        <x:v>41</x:v>
      </x:c>
      <x:c r="E79" s="26" t="n">
        <x:v>4</x:v>
      </x:c>
      <x:c r="F79" s="26" t="str">
        <x:v>Alec Pierce</x:v>
      </x:c>
      <x:c r="G79" s="26" t="str">
        <x:v>IND</x:v>
      </x:c>
      <x:c r="H79" s="26" t="str">
        <x:v>WR</x:v>
      </x:c>
      <x:c r="I79" s="28" t="n">
        <x:v>136.4</x:v>
      </x:c>
      <x:c r="J79" s="28" t="n">
        <x:v>110.6</x:v>
      </x:c>
      <x:c r="K79" s="28" t="n">
        <x:v>25.80000000000001</x:v>
      </x:c>
      <x:c r="L79" s="28" t="n">
        <x:v>0</x:v>
      </x:c>
      <x:c r="M79" s="28" t="n">
        <x:v>25.80000000000001</x:v>
      </x:c>
      <x:c r="N79" s="28"/>
      <x:c r="O79" s="26" t="str">
        <x:v>ADP_NOT_LOADED</x:v>
      </x:c>
      <x:c r="P79" s="26" t="str">
        <x:v>Projection-only v1.0</x:v>
      </x:c>
    </x:row>
    <x:row r="80">
      <x:c r="A80" s="26" t="str">
        <x:v>half_ppr</x:v>
      </x:c>
      <x:c r="B80" s="26" t="n">
        <x:v>76</x:v>
      </x:c>
      <x:c r="C80" s="26" t="n">
        <x:v>5</x:v>
      </x:c>
      <x:c r="D80" s="26" t="n">
        <x:v>5</x:v>
      </x:c>
      <x:c r="E80" s="26" t="n">
        <x:v>2</x:v>
      </x:c>
      <x:c r="F80" s="26" t="str">
        <x:v>Drake Maye</x:v>
      </x:c>
      <x:c r="G80" s="26" t="str">
        <x:v>NE</x:v>
      </x:c>
      <x:c r="H80" s="26" t="str">
        <x:v>QB</x:v>
      </x:c>
      <x:c r="I80" s="28" t="n">
        <x:v>316.1</x:v>
      </x:c>
      <x:c r="J80" s="28" t="n">
        <x:v>290.6</x:v>
      </x:c>
      <x:c r="K80" s="28" t="n">
        <x:v>25.5</x:v>
      </x:c>
      <x:c r="L80" s="28" t="n">
        <x:v>0</x:v>
      </x:c>
      <x:c r="M80" s="28" t="n">
        <x:v>25.5</x:v>
      </x:c>
      <x:c r="N80" s="28"/>
      <x:c r="O80" s="26" t="str">
        <x:v>ADP_NOT_LOADED</x:v>
      </x:c>
      <x:c r="P80" s="26" t="str">
        <x:v>Projection-only v1.0</x:v>
      </x:c>
    </x:row>
    <x:row r="81">
      <x:c r="A81" s="26" t="str">
        <x:v>half_ppr</x:v>
      </x:c>
      <x:c r="B81" s="26" t="n">
        <x:v>77</x:v>
      </x:c>
      <x:c r="C81" s="26" t="n">
        <x:v>5</x:v>
      </x:c>
      <x:c r="D81" s="26" t="n">
        <x:v>39</x:v>
      </x:c>
      <x:c r="E81" s="26" t="n">
        <x:v>4</x:v>
      </x:c>
      <x:c r="F81" s="26" t="str">
        <x:v>Matthew Golden</x:v>
      </x:c>
      <x:c r="G81" s="26" t="str">
        <x:v>GB</x:v>
      </x:c>
      <x:c r="H81" s="26" t="str">
        <x:v>WR</x:v>
      </x:c>
      <x:c r="I81" s="28" t="n">
        <x:v>135.8</x:v>
      </x:c>
      <x:c r="J81" s="28" t="n">
        <x:v>110.6</x:v>
      </x:c>
      <x:c r="K81" s="28" t="n">
        <x:v>25.200000000000017</x:v>
      </x:c>
      <x:c r="L81" s="28" t="n">
        <x:v>0</x:v>
      </x:c>
      <x:c r="M81" s="28" t="n">
        <x:v>25.200000000000017</x:v>
      </x:c>
      <x:c r="N81" s="28"/>
      <x:c r="O81" s="26" t="str">
        <x:v>ADP_NOT_LOADED</x:v>
      </x:c>
      <x:c r="P81" s="26" t="str">
        <x:v>Projection-only v1.0</x:v>
      </x:c>
    </x:row>
    <x:row r="82">
      <x:c r="A82" s="26" t="str">
        <x:v>half_ppr</x:v>
      </x:c>
      <x:c r="B82" s="26" t="n">
        <x:v>78</x:v>
      </x:c>
      <x:c r="C82" s="26" t="n">
        <x:v>5</x:v>
      </x:c>
      <x:c r="D82" s="26" t="n">
        <x:v>40</x:v>
      </x:c>
      <x:c r="E82" s="26" t="n">
        <x:v>4</x:v>
      </x:c>
      <x:c r="F82" s="26" t="str">
        <x:v>Jordan Addison</x:v>
      </x:c>
      <x:c r="G82" s="26" t="str">
        <x:v>MIN</x:v>
      </x:c>
      <x:c r="H82" s="26" t="str">
        <x:v>WR</x:v>
      </x:c>
      <x:c r="I82" s="28" t="n">
        <x:v>135.2</x:v>
      </x:c>
      <x:c r="J82" s="28" t="n">
        <x:v>110.6</x:v>
      </x:c>
      <x:c r="K82" s="28" t="n">
        <x:v>24.599999999999994</x:v>
      </x:c>
      <x:c r="L82" s="28" t="n">
        <x:v>0</x:v>
      </x:c>
      <x:c r="M82" s="28" t="n">
        <x:v>24.599999999999994</x:v>
      </x:c>
      <x:c r="N82" s="28"/>
      <x:c r="O82" s="26" t="str">
        <x:v>ADP_NOT_LOADED</x:v>
      </x:c>
      <x:c r="P82" s="26" t="str">
        <x:v>Projection-only v1.0</x:v>
      </x:c>
    </x:row>
    <x:row r="83">
      <x:c r="A83" s="26" t="str">
        <x:v>half_ppr</x:v>
      </x:c>
      <x:c r="B83" s="26" t="n">
        <x:v>79</x:v>
      </x:c>
      <x:c r="C83" s="26" t="n">
        <x:v>5</x:v>
      </x:c>
      <x:c r="D83" s="26" t="n">
        <x:v>6</x:v>
      </x:c>
      <x:c r="E83" s="26" t="n">
        <x:v>2</x:v>
      </x:c>
      <x:c r="F83" s="26" t="str">
        <x:v>Jalen Hurts</x:v>
      </x:c>
      <x:c r="G83" s="26" t="str">
        <x:v>PHI</x:v>
      </x:c>
      <x:c r="H83" s="26" t="str">
        <x:v>QB</x:v>
      </x:c>
      <x:c r="I83" s="28" t="n">
        <x:v>313.7</x:v>
      </x:c>
      <x:c r="J83" s="28" t="n">
        <x:v>290.6</x:v>
      </x:c>
      <x:c r="K83" s="28" t="n">
        <x:v>23.099999999999966</x:v>
      </x:c>
      <x:c r="L83" s="28" t="n">
        <x:v>0</x:v>
      </x:c>
      <x:c r="M83" s="28" t="n">
        <x:v>23.099999999999966</x:v>
      </x:c>
      <x:c r="N83" s="28"/>
      <x:c r="O83" s="26" t="str">
        <x:v>ADP_NOT_LOADED</x:v>
      </x:c>
      <x:c r="P83" s="26" t="str">
        <x:v>Projection-only v1.0</x:v>
      </x:c>
    </x:row>
    <x:row r="84">
      <x:c r="A84" s="26" t="str">
        <x:v>half_ppr</x:v>
      </x:c>
      <x:c r="B84" s="26" t="n">
        <x:v>80</x:v>
      </x:c>
      <x:c r="C84" s="26" t="n">
        <x:v>5</x:v>
      </x:c>
      <x:c r="D84" s="26" t="n">
        <x:v>30</x:v>
      </x:c>
      <x:c r="E84" s="26" t="n">
        <x:v>3</x:v>
      </x:c>
      <x:c r="F84" s="26" t="str">
        <x:v>Tony Pollard</x:v>
      </x:c>
      <x:c r="G84" s="26" t="str">
        <x:v>TEN</x:v>
      </x:c>
      <x:c r="H84" s="26" t="str">
        <x:v>RB</x:v>
      </x:c>
      <x:c r="I84" s="28" t="n">
        <x:v>146.9</x:v>
      </x:c>
      <x:c r="J84" s="28" t="n">
        <x:v>124.5</x:v>
      </x:c>
      <x:c r="K84" s="28" t="n">
        <x:v>22.400000000000006</x:v>
      </x:c>
      <x:c r="L84" s="28" t="n">
        <x:v>0</x:v>
      </x:c>
      <x:c r="M84" s="28" t="n">
        <x:v>22.400000000000006</x:v>
      </x:c>
      <x:c r="N84" s="28"/>
      <x:c r="O84" s="26" t="str">
        <x:v>ADP_NOT_LOADED</x:v>
      </x:c>
      <x:c r="P84" s="26" t="str">
        <x:v>Projection-only v1.0</x:v>
      </x:c>
    </x:row>
    <x:row r="85">
      <x:c r="A85" s="26" t="str">
        <x:v>half_ppr</x:v>
      </x:c>
      <x:c r="B85" s="26" t="n">
        <x:v>81</x:v>
      </x:c>
      <x:c r="C85" s="26" t="n">
        <x:v>5</x:v>
      </x:c>
      <x:c r="D85" s="26" t="n">
        <x:v>4</x:v>
      </x:c>
      <x:c r="E85" s="26" t="n">
        <x:v>2</x:v>
      </x:c>
      <x:c r="F85" s="26" t="str">
        <x:v>Tyler Warren</x:v>
      </x:c>
      <x:c r="G85" s="26" t="str">
        <x:v>IND</x:v>
      </x:c>
      <x:c r="H85" s="26" t="str">
        <x:v>TE</x:v>
      </x:c>
      <x:c r="I85" s="28" t="n">
        <x:v>162.1</x:v>
      </x:c>
      <x:c r="J85" s="28" t="n">
        <x:v>143.3</x:v>
      </x:c>
      <x:c r="K85" s="28" t="n">
        <x:v>18.799999999999983</x:v>
      </x:c>
      <x:c r="L85" s="28" t="n">
        <x:v>0</x:v>
      </x:c>
      <x:c r="M85" s="28" t="n">
        <x:v>18.799999999999983</x:v>
      </x:c>
      <x:c r="N85" s="28"/>
      <x:c r="O85" s="26" t="str">
        <x:v>ADP_NOT_LOADED</x:v>
      </x:c>
      <x:c r="P85" s="26" t="str">
        <x:v>Projection-only v1.0</x:v>
      </x:c>
    </x:row>
    <x:row r="86">
      <x:c r="A86" s="26" t="str">
        <x:v>half_ppr</x:v>
      </x:c>
      <x:c r="B86" s="26" t="n">
        <x:v>82</x:v>
      </x:c>
      <x:c r="C86" s="26" t="n">
        <x:v>5</x:v>
      </x:c>
      <x:c r="D86" s="26" t="n">
        <x:v>31</x:v>
      </x:c>
      <x:c r="E86" s="26" t="n">
        <x:v>3</x:v>
      </x:c>
      <x:c r="F86" s="26" t="str">
        <x:v>Rico Dowdle</x:v>
      </x:c>
      <x:c r="G86" s="26" t="str">
        <x:v>PIT</x:v>
      </x:c>
      <x:c r="H86" s="26" t="str">
        <x:v>RB</x:v>
      </x:c>
      <x:c r="I86" s="28" t="n">
        <x:v>142</x:v>
      </x:c>
      <x:c r="J86" s="28" t="n">
        <x:v>124.5</x:v>
      </x:c>
      <x:c r="K86" s="28" t="n">
        <x:v>17.5</x:v>
      </x:c>
      <x:c r="L86" s="28" t="n">
        <x:v>0</x:v>
      </x:c>
      <x:c r="M86" s="28" t="n">
        <x:v>17.5</x:v>
      </x:c>
      <x:c r="N86" s="28"/>
      <x:c r="O86" s="26" t="str">
        <x:v>ADP_NOT_LOADED</x:v>
      </x:c>
      <x:c r="P86" s="26" t="str">
        <x:v>Projection-only v1.0</x:v>
      </x:c>
    </x:row>
    <x:row r="87">
      <x:c r="A87" s="26" t="str">
        <x:v>half_ppr</x:v>
      </x:c>
      <x:c r="B87" s="26" t="n">
        <x:v>83</x:v>
      </x:c>
      <x:c r="C87" s="26" t="n">
        <x:v>5</x:v>
      </x:c>
      <x:c r="D87" s="26" t="n">
        <x:v>42</x:v>
      </x:c>
      <x:c r="E87" s="26" t="n">
        <x:v>4</x:v>
      </x:c>
      <x:c r="F87" s="26" t="str">
        <x:v>Jakobi Meyers</x:v>
      </x:c>
      <x:c r="G87" s="26" t="str">
        <x:v>JAX</x:v>
      </x:c>
      <x:c r="H87" s="26" t="str">
        <x:v>WR</x:v>
      </x:c>
      <x:c r="I87" s="28" t="n">
        <x:v>126.5</x:v>
      </x:c>
      <x:c r="J87" s="28" t="n">
        <x:v>110.6</x:v>
      </x:c>
      <x:c r="K87" s="28" t="n">
        <x:v>15.900000000000006</x:v>
      </x:c>
      <x:c r="L87" s="28" t="n">
        <x:v>0</x:v>
      </x:c>
      <x:c r="M87" s="28" t="n">
        <x:v>15.900000000000006</x:v>
      </x:c>
      <x:c r="N87" s="28"/>
      <x:c r="O87" s="26" t="str">
        <x:v>ADP_NOT_LOADED</x:v>
      </x:c>
      <x:c r="P87" s="26" t="str">
        <x:v>Projection-only v1.0</x:v>
      </x:c>
    </x:row>
    <x:row r="88">
      <x:c r="A88" s="26" t="str">
        <x:v>half_ppr</x:v>
      </x:c>
      <x:c r="B88" s="26" t="n">
        <x:v>84</x:v>
      </x:c>
      <x:c r="C88" s="26" t="n">
        <x:v>5</x:v>
      </x:c>
      <x:c r="D88" s="26" t="n">
        <x:v>7</x:v>
      </x:c>
      <x:c r="E88" s="26" t="n">
        <x:v>2</x:v>
      </x:c>
      <x:c r="F88" s="26" t="str">
        <x:v>Joe Burrow</x:v>
      </x:c>
      <x:c r="G88" s="26" t="str">
        <x:v>CIN</x:v>
      </x:c>
      <x:c r="H88" s="26" t="str">
        <x:v>QB</x:v>
      </x:c>
      <x:c r="I88" s="28" t="n">
        <x:v>305.5</x:v>
      </x:c>
      <x:c r="J88" s="28" t="n">
        <x:v>290.6</x:v>
      </x:c>
      <x:c r="K88" s="28" t="n">
        <x:v>14.899999999999977</x:v>
      </x:c>
      <x:c r="L88" s="28" t="n">
        <x:v>0</x:v>
      </x:c>
      <x:c r="M88" s="28" t="n">
        <x:v>14.899999999999977</x:v>
      </x:c>
      <x:c r="N88" s="28"/>
      <x:c r="O88" s="26" t="str">
        <x:v>ADP_NOT_LOADED</x:v>
      </x:c>
      <x:c r="P88" s="26" t="str">
        <x:v>Projection-only v1.0</x:v>
      </x:c>
    </x:row>
    <x:row r="89">
      <x:c r="A89" s="26" t="str">
        <x:v>half_ppr</x:v>
      </x:c>
      <x:c r="B89" s="26" t="n">
        <x:v>85</x:v>
      </x:c>
      <x:c r="C89" s="26" t="n">
        <x:v>5</x:v>
      </x:c>
      <x:c r="D89" s="26" t="n">
        <x:v>5</x:v>
      </x:c>
      <x:c r="E89" s="26" t="n">
        <x:v>2</x:v>
      </x:c>
      <x:c r="F89" s="26" t="str">
        <x:v>Kyle Pitts Sr.</x:v>
      </x:c>
      <x:c r="G89" s="26" t="str">
        <x:v>ATL</x:v>
      </x:c>
      <x:c r="H89" s="26" t="str">
        <x:v>TE</x:v>
      </x:c>
      <x:c r="I89" s="28" t="n">
        <x:v>157.3</x:v>
      </x:c>
      <x:c r="J89" s="28" t="n">
        <x:v>143.3</x:v>
      </x:c>
      <x:c r="K89" s="28" t="n">
        <x:v>14</x:v>
      </x:c>
      <x:c r="L89" s="28" t="n">
        <x:v>0</x:v>
      </x:c>
      <x:c r="M89" s="28" t="n">
        <x:v>14</x:v>
      </x:c>
      <x:c r="N89" s="28"/>
      <x:c r="O89" s="26" t="str">
        <x:v>ADP_NOT_LOADED</x:v>
      </x:c>
      <x:c r="P89" s="26" t="str">
        <x:v>Projection-only v1.0</x:v>
      </x:c>
    </x:row>
    <x:row r="90">
      <x:c r="A90" s="26" t="str">
        <x:v>half_ppr</x:v>
      </x:c>
      <x:c r="B90" s="26" t="n">
        <x:v>86</x:v>
      </x:c>
      <x:c r="C90" s="26" t="n">
        <x:v>5</x:v>
      </x:c>
      <x:c r="D90" s="26" t="n">
        <x:v>44</x:v>
      </x:c>
      <x:c r="E90" s="26" t="n">
        <x:v>4</x:v>
      </x:c>
      <x:c r="F90" s="26" t="str">
        <x:v>Stefon Diggs</x:v>
      </x:c>
      <x:c r="G90" s="26" t="str">
        <x:v>WAS</x:v>
      </x:c>
      <x:c r="H90" s="26" t="str">
        <x:v>WR</x:v>
      </x:c>
      <x:c r="I90" s="28" t="n">
        <x:v>124.3</x:v>
      </x:c>
      <x:c r="J90" s="28" t="n">
        <x:v>110.6</x:v>
      </x:c>
      <x:c r="K90" s="28" t="n">
        <x:v>13.700000000000003</x:v>
      </x:c>
      <x:c r="L90" s="28" t="n">
        <x:v>0</x:v>
      </x:c>
      <x:c r="M90" s="28" t="n">
        <x:v>13.700000000000003</x:v>
      </x:c>
      <x:c r="N90" s="28"/>
      <x:c r="O90" s="26" t="str">
        <x:v>ADP_NOT_LOADED</x:v>
      </x:c>
      <x:c r="P90" s="26" t="str">
        <x:v>Projection-only v1.0</x:v>
      </x:c>
    </x:row>
    <x:row r="91">
      <x:c r="A91" s="26" t="str">
        <x:v>half_ppr</x:v>
      </x:c>
      <x:c r="B91" s="26" t="n">
        <x:v>87</x:v>
      </x:c>
      <x:c r="C91" s="26" t="n">
        <x:v>5</x:v>
      </x:c>
      <x:c r="D91" s="26" t="n">
        <x:v>6</x:v>
      </x:c>
      <x:c r="E91" s="26" t="n">
        <x:v>2</x:v>
      </x:c>
      <x:c r="F91" s="26" t="str">
        <x:v>Sam LaPorta</x:v>
      </x:c>
      <x:c r="G91" s="26" t="str">
        <x:v>DET</x:v>
      </x:c>
      <x:c r="H91" s="26" t="str">
        <x:v>TE</x:v>
      </x:c>
      <x:c r="I91" s="28" t="n">
        <x:v>156.8</x:v>
      </x:c>
      <x:c r="J91" s="28" t="n">
        <x:v>143.3</x:v>
      </x:c>
      <x:c r="K91" s="28" t="n">
        <x:v>13.5</x:v>
      </x:c>
      <x:c r="L91" s="28" t="n">
        <x:v>0</x:v>
      </x:c>
      <x:c r="M91" s="28" t="n">
        <x:v>13.5</x:v>
      </x:c>
      <x:c r="N91" s="28"/>
      <x:c r="O91" s="26" t="str">
        <x:v>ADP_NOT_LOADED</x:v>
      </x:c>
      <x:c r="P91" s="26" t="str">
        <x:v>Projection-only v1.0</x:v>
      </x:c>
    </x:row>
    <x:row r="92">
      <x:c r="A92" s="26" t="str">
        <x:v>half_ppr</x:v>
      </x:c>
      <x:c r="B92" s="26" t="n">
        <x:v>88</x:v>
      </x:c>
      <x:c r="C92" s="26" t="n">
        <x:v>5</x:v>
      </x:c>
      <x:c r="D92" s="26" t="n">
        <x:v>32</x:v>
      </x:c>
      <x:c r="E92" s="26" t="n">
        <x:v>3</x:v>
      </x:c>
      <x:c r="F92" s="26" t="str">
        <x:v>Rhamondre Stevenson</x:v>
      </x:c>
      <x:c r="G92" s="26" t="str">
        <x:v>NE</x:v>
      </x:c>
      <x:c r="H92" s="26" t="str">
        <x:v>RB</x:v>
      </x:c>
      <x:c r="I92" s="28" t="n">
        <x:v>137.3</x:v>
      </x:c>
      <x:c r="J92" s="28" t="n">
        <x:v>124.5</x:v>
      </x:c>
      <x:c r="K92" s="28" t="n">
        <x:v>12.800000000000011</x:v>
      </x:c>
      <x:c r="L92" s="28" t="n">
        <x:v>0</x:v>
      </x:c>
      <x:c r="M92" s="28" t="n">
        <x:v>12.800000000000011</x:v>
      </x:c>
      <x:c r="N92" s="28"/>
      <x:c r="O92" s="26" t="str">
        <x:v>ADP_NOT_LOADED</x:v>
      </x:c>
      <x:c r="P92" s="26" t="str">
        <x:v>Projection-only v1.0</x:v>
      </x:c>
    </x:row>
    <x:row r="93">
      <x:c r="A93" s="26" t="str">
        <x:v>half_ppr</x:v>
      </x:c>
      <x:c r="B93" s="26" t="n">
        <x:v>89</x:v>
      </x:c>
      <x:c r="C93" s="26" t="n">
        <x:v>5</x:v>
      </x:c>
      <x:c r="D93" s="26" t="n">
        <x:v>43</x:v>
      </x:c>
      <x:c r="E93" s="26" t="n">
        <x:v>4</x:v>
      </x:c>
      <x:c r="F93" s="26" t="str">
        <x:v>Josh Downs</x:v>
      </x:c>
      <x:c r="G93" s="26" t="str">
        <x:v>IND</x:v>
      </x:c>
      <x:c r="H93" s="26" t="str">
        <x:v>WR</x:v>
      </x:c>
      <x:c r="I93" s="28" t="n">
        <x:v>122.3</x:v>
      </x:c>
      <x:c r="J93" s="28" t="n">
        <x:v>110.6</x:v>
      </x:c>
      <x:c r="K93" s="28" t="n">
        <x:v>11.700000000000003</x:v>
      </x:c>
      <x:c r="L93" s="28" t="n">
        <x:v>0</x:v>
      </x:c>
      <x:c r="M93" s="28" t="n">
        <x:v>11.700000000000003</x:v>
      </x:c>
      <x:c r="N93" s="28"/>
      <x:c r="O93" s="26" t="str">
        <x:v>ADP_NOT_LOADED</x:v>
      </x:c>
      <x:c r="P93" s="26" t="str">
        <x:v>Projection-only v1.0</x:v>
      </x:c>
    </x:row>
    <x:row r="94">
      <x:c r="A94" s="26" t="str">
        <x:v>half_ppr</x:v>
      </x:c>
      <x:c r="B94" s="26" t="n">
        <x:v>90</x:v>
      </x:c>
      <x:c r="C94" s="26" t="n">
        <x:v>5</x:v>
      </x:c>
      <x:c r="D94" s="26" t="n">
        <x:v>34</x:v>
      </x:c>
      <x:c r="E94" s="26" t="n">
        <x:v>3</x:v>
      </x:c>
      <x:c r="F94" s="26" t="str">
        <x:v>Kyle Monangai</x:v>
      </x:c>
      <x:c r="G94" s="26" t="str">
        <x:v>CHI</x:v>
      </x:c>
      <x:c r="H94" s="26" t="str">
        <x:v>RB</x:v>
      </x:c>
      <x:c r="I94" s="28" t="n">
        <x:v>135.9</x:v>
      </x:c>
      <x:c r="J94" s="28" t="n">
        <x:v>124.5</x:v>
      </x:c>
      <x:c r="K94" s="28" t="n">
        <x:v>11.400000000000006</x:v>
      </x:c>
      <x:c r="L94" s="28" t="n">
        <x:v>0</x:v>
      </x:c>
      <x:c r="M94" s="28" t="n">
        <x:v>11.400000000000006</x:v>
      </x:c>
      <x:c r="N94" s="28"/>
      <x:c r="O94" s="26" t="str">
        <x:v>ADP_NOT_LOADED</x:v>
      </x:c>
      <x:c r="P94" s="26" t="str">
        <x:v>Projection-only v1.0</x:v>
      </x:c>
    </x:row>
    <x:row r="95">
      <x:c r="A95" s="26" t="str">
        <x:v>half_ppr</x:v>
      </x:c>
      <x:c r="B95" s="26" t="n">
        <x:v>91</x:v>
      </x:c>
      <x:c r="C95" s="26" t="n">
        <x:v>5</x:v>
      </x:c>
      <x:c r="D95" s="26" t="n">
        <x:v>7</x:v>
      </x:c>
      <x:c r="E95" s="26" t="n">
        <x:v>2</x:v>
      </x:c>
      <x:c r="F95" s="26" t="str">
        <x:v>Harold Fannin Jr.</x:v>
      </x:c>
      <x:c r="G95" s="26" t="str">
        <x:v>CLE</x:v>
      </x:c>
      <x:c r="H95" s="26" t="str">
        <x:v>TE</x:v>
      </x:c>
      <x:c r="I95" s="28" t="n">
        <x:v>154.4</x:v>
      </x:c>
      <x:c r="J95" s="28" t="n">
        <x:v>143.3</x:v>
      </x:c>
      <x:c r="K95" s="28" t="n">
        <x:v>11.099999999999994</x:v>
      </x:c>
      <x:c r="L95" s="28" t="n">
        <x:v>0</x:v>
      </x:c>
      <x:c r="M95" s="28" t="n">
        <x:v>11.099999999999994</x:v>
      </x:c>
      <x:c r="N95" s="28"/>
      <x:c r="O95" s="26" t="str">
        <x:v>ADP_NOT_LOADED</x:v>
      </x:c>
      <x:c r="P95" s="26" t="str">
        <x:v>Projection-only v1.0</x:v>
      </x:c>
    </x:row>
    <x:row r="96">
      <x:c r="A96" s="26" t="str">
        <x:v>half_ppr</x:v>
      </x:c>
      <x:c r="B96" s="26" t="n">
        <x:v>92</x:v>
      </x:c>
      <x:c r="C96" s="26" t="n">
        <x:v>5</x:v>
      </x:c>
      <x:c r="D96" s="26" t="n">
        <x:v>46</x:v>
      </x:c>
      <x:c r="E96" s="26" t="n">
        <x:v>4</x:v>
      </x:c>
      <x:c r="F96" s="26" t="str">
        <x:v>Xavier Worthy</x:v>
      </x:c>
      <x:c r="G96" s="26" t="str">
        <x:v>KC</x:v>
      </x:c>
      <x:c r="H96" s="26" t="str">
        <x:v>WR</x:v>
      </x:c>
      <x:c r="I96" s="28" t="n">
        <x:v>120</x:v>
      </x:c>
      <x:c r="J96" s="28" t="n">
        <x:v>110.6</x:v>
      </x:c>
      <x:c r="K96" s="28" t="n">
        <x:v>9.400000000000006</x:v>
      </x:c>
      <x:c r="L96" s="28" t="n">
        <x:v>0</x:v>
      </x:c>
      <x:c r="M96" s="28" t="n">
        <x:v>9.400000000000006</x:v>
      </x:c>
      <x:c r="N96" s="28"/>
      <x:c r="O96" s="26" t="str">
        <x:v>ADP_NOT_LOADED</x:v>
      </x:c>
      <x:c r="P96" s="26" t="str">
        <x:v>Projection-only v1.0</x:v>
      </x:c>
    </x:row>
    <x:row r="97">
      <x:c r="A97" s="26" t="str">
        <x:v>half_ppr</x:v>
      </x:c>
      <x:c r="B97" s="26" t="n">
        <x:v>93</x:v>
      </x:c>
      <x:c r="C97" s="26" t="n">
        <x:v>5</x:v>
      </x:c>
      <x:c r="D97" s="26" t="n">
        <x:v>8</x:v>
      </x:c>
      <x:c r="E97" s="26" t="n">
        <x:v>2</x:v>
      </x:c>
      <x:c r="F97" s="26" t="str">
        <x:v>Trevor Lawrence</x:v>
      </x:c>
      <x:c r="G97" s="26" t="str">
        <x:v>JAX</x:v>
      </x:c>
      <x:c r="H97" s="26" t="str">
        <x:v>QB</x:v>
      </x:c>
      <x:c r="I97" s="28" t="n">
        <x:v>297.7</x:v>
      </x:c>
      <x:c r="J97" s="28" t="n">
        <x:v>290.6</x:v>
      </x:c>
      <x:c r="K97" s="28" t="n">
        <x:v>7.099999999999966</x:v>
      </x:c>
      <x:c r="L97" s="28" t="n">
        <x:v>0</x:v>
      </x:c>
      <x:c r="M97" s="28" t="n">
        <x:v>7.099999999999966</x:v>
      </x:c>
      <x:c r="N97" s="28"/>
      <x:c r="O97" s="26" t="str">
        <x:v>ADP_NOT_LOADED</x:v>
      </x:c>
      <x:c r="P97" s="26" t="str">
        <x:v>Projection-only v1.0</x:v>
      </x:c>
    </x:row>
    <x:row r="98">
      <x:c r="A98" s="26" t="str">
        <x:v>half_ppr</x:v>
      </x:c>
      <x:c r="B98" s="26" t="n">
        <x:v>94</x:v>
      </x:c>
      <x:c r="C98" s="26" t="n">
        <x:v>5</x:v>
      </x:c>
      <x:c r="D98" s="26" t="n">
        <x:v>9</x:v>
      </x:c>
      <x:c r="E98" s="26" t="n">
        <x:v>3</x:v>
      </x:c>
      <x:c r="F98" s="26" t="str">
        <x:v>Justin Herbert</x:v>
      </x:c>
      <x:c r="G98" s="26" t="str">
        <x:v>LAC</x:v>
      </x:c>
      <x:c r="H98" s="26" t="str">
        <x:v>QB</x:v>
      </x:c>
      <x:c r="I98" s="28" t="n">
        <x:v>297.6</x:v>
      </x:c>
      <x:c r="J98" s="28" t="n">
        <x:v>290.6</x:v>
      </x:c>
      <x:c r="K98" s="28" t="n">
        <x:v>7</x:v>
      </x:c>
      <x:c r="L98" s="28" t="n">
        <x:v>0</x:v>
      </x:c>
      <x:c r="M98" s="28" t="n">
        <x:v>7</x:v>
      </x:c>
      <x:c r="N98" s="28"/>
      <x:c r="O98" s="26" t="str">
        <x:v>ADP_NOT_LOADED</x:v>
      </x:c>
      <x:c r="P98" s="26" t="str">
        <x:v>Projection-only v1.0</x:v>
      </x:c>
    </x:row>
    <x:row r="99">
      <x:c r="A99" s="26" t="str">
        <x:v>half_ppr</x:v>
      </x:c>
      <x:c r="B99" s="26" t="n">
        <x:v>95</x:v>
      </x:c>
      <x:c r="C99" s="26" t="n">
        <x:v>5</x:v>
      </x:c>
      <x:c r="D99" s="26" t="n">
        <x:v>35</x:v>
      </x:c>
      <x:c r="E99" s="26" t="n">
        <x:v>3</x:v>
      </x:c>
      <x:c r="F99" s="26" t="str">
        <x:v>Chuba Hubbard</x:v>
      </x:c>
      <x:c r="G99" s="26" t="str">
        <x:v>CAR</x:v>
      </x:c>
      <x:c r="H99" s="26" t="str">
        <x:v>RB</x:v>
      </x:c>
      <x:c r="I99" s="28" t="n">
        <x:v>131.4</x:v>
      </x:c>
      <x:c r="J99" s="28" t="n">
        <x:v>124.5</x:v>
      </x:c>
      <x:c r="K99" s="28" t="n">
        <x:v>6.900000000000006</x:v>
      </x:c>
      <x:c r="L99" s="28" t="n">
        <x:v>0</x:v>
      </x:c>
      <x:c r="M99" s="28" t="n">
        <x:v>6.900000000000006</x:v>
      </x:c>
      <x:c r="N99" s="28"/>
      <x:c r="O99" s="26" t="str">
        <x:v>ADP_NOT_LOADED</x:v>
      </x:c>
      <x:c r="P99" s="26" t="str">
        <x:v>Projection-only v1.0</x:v>
      </x:c>
    </x:row>
    <x:row r="100">
      <x:c r="A100" s="26" t="str">
        <x:v>half_ppr</x:v>
      </x:c>
      <x:c r="B100" s="26" t="n">
        <x:v>96</x:v>
      </x:c>
      <x:c r="C100" s="26" t="n">
        <x:v>5</x:v>
      </x:c>
      <x:c r="D100" s="26" t="n">
        <x:v>45</x:v>
      </x:c>
      <x:c r="E100" s="26" t="n">
        <x:v>4</x:v>
      </x:c>
      <x:c r="F100" s="26" t="str">
        <x:v>Tre Tucker</x:v>
      </x:c>
      <x:c r="G100" s="26" t="str">
        <x:v>LV</x:v>
      </x:c>
      <x:c r="H100" s="26" t="str">
        <x:v>WR</x:v>
      </x:c>
      <x:c r="I100" s="28" t="n">
        <x:v>117.4</x:v>
      </x:c>
      <x:c r="J100" s="28" t="n">
        <x:v>110.6</x:v>
      </x:c>
      <x:c r="K100" s="28" t="n">
        <x:v>6.800000000000011</x:v>
      </x:c>
      <x:c r="L100" s="28" t="n">
        <x:v>0</x:v>
      </x:c>
      <x:c r="M100" s="28" t="n">
        <x:v>6.800000000000011</x:v>
      </x:c>
      <x:c r="N100" s="28"/>
      <x:c r="O100" s="26" t="str">
        <x:v>ADP_NOT_LOADED</x:v>
      </x:c>
      <x:c r="P100" s="26" t="str">
        <x:v>Projection-only v1.0</x:v>
      </x:c>
    </x:row>
    <x:row r="101">
      <x:c r="A101" s="26" t="str">
        <x:v>half_ppr</x:v>
      </x:c>
      <x:c r="B101" s="26" t="n">
        <x:v>97</x:v>
      </x:c>
      <x:c r="C101" s="26" t="n">
        <x:v>5</x:v>
      </x:c>
      <x:c r="D101" s="26" t="n">
        <x:v>47</x:v>
      </x:c>
      <x:c r="E101" s="26" t="n">
        <x:v>4</x:v>
      </x:c>
      <x:c r="F101" s="26" t="str">
        <x:v>Quentin Johnston</x:v>
      </x:c>
      <x:c r="G101" s="26" t="str">
        <x:v>LAC</x:v>
      </x:c>
      <x:c r="H101" s="26" t="str">
        <x:v>WR</x:v>
      </x:c>
      <x:c r="I101" s="28" t="n">
        <x:v>116.8</x:v>
      </x:c>
      <x:c r="J101" s="28" t="n">
        <x:v>110.6</x:v>
      </x:c>
      <x:c r="K101" s="28" t="n">
        <x:v>6.200000000000003</x:v>
      </x:c>
      <x:c r="L101" s="28" t="n">
        <x:v>0</x:v>
      </x:c>
      <x:c r="M101" s="28" t="n">
        <x:v>6.200000000000003</x:v>
      </x:c>
      <x:c r="N101" s="28"/>
      <x:c r="O101" s="26" t="str">
        <x:v>ADP_NOT_LOADED</x:v>
      </x:c>
      <x:c r="P101" s="26" t="str">
        <x:v>Projection-only v1.0</x:v>
      </x:c>
    </x:row>
    <x:row r="102">
      <x:c r="A102" s="26" t="str">
        <x:v>half_ppr</x:v>
      </x:c>
      <x:c r="B102" s="26" t="n">
        <x:v>98</x:v>
      </x:c>
      <x:c r="C102" s="26" t="n">
        <x:v>5</x:v>
      </x:c>
      <x:c r="D102" s="26" t="n">
        <x:v>10</x:v>
      </x:c>
      <x:c r="E102" s="26" t="n">
        <x:v>3</x:v>
      </x:c>
      <x:c r="F102" s="26" t="str">
        <x:v>Jaxson Dart</x:v>
      </x:c>
      <x:c r="G102" s="26" t="str">
        <x:v>NYG</x:v>
      </x:c>
      <x:c r="H102" s="26" t="str">
        <x:v>QB</x:v>
      </x:c>
      <x:c r="I102" s="28" t="n">
        <x:v>296.8</x:v>
      </x:c>
      <x:c r="J102" s="28" t="n">
        <x:v>290.6</x:v>
      </x:c>
      <x:c r="K102" s="28" t="n">
        <x:v>6.199999999999989</x:v>
      </x:c>
      <x:c r="L102" s="28" t="n">
        <x:v>0</x:v>
      </x:c>
      <x:c r="M102" s="28" t="n">
        <x:v>6.199999999999989</x:v>
      </x:c>
      <x:c r="N102" s="28"/>
      <x:c r="O102" s="26" t="str">
        <x:v>ADP_NOT_LOADED</x:v>
      </x:c>
      <x:c r="P102" s="26" t="str">
        <x:v>Projection-only v1.0</x:v>
      </x:c>
    </x:row>
    <x:row r="103">
      <x:c r="A103" s="26" t="str">
        <x:v>half_ppr</x:v>
      </x:c>
      <x:c r="B103" s="26" t="n">
        <x:v>99</x:v>
      </x:c>
      <x:c r="C103" s="26" t="n">
        <x:v>5</x:v>
      </x:c>
      <x:c r="D103" s="26" t="n">
        <x:v>33</x:v>
      </x:c>
      <x:c r="E103" s="26" t="n">
        <x:v>3</x:v>
      </x:c>
      <x:c r="F103" s="26" t="str">
        <x:v>Kenny Gainwell</x:v>
      </x:c>
      <x:c r="G103" s="26" t="str">
        <x:v>TB</x:v>
      </x:c>
      <x:c r="H103" s="26" t="str">
        <x:v>RB</x:v>
      </x:c>
      <x:c r="I103" s="28" t="n">
        <x:v>130.4</x:v>
      </x:c>
      <x:c r="J103" s="28" t="n">
        <x:v>124.5</x:v>
      </x:c>
      <x:c r="K103" s="28" t="n">
        <x:v>5.900000000000006</x:v>
      </x:c>
      <x:c r="L103" s="28" t="n">
        <x:v>0</x:v>
      </x:c>
      <x:c r="M103" s="28" t="n">
        <x:v>5.900000000000006</x:v>
      </x:c>
      <x:c r="N103" s="28"/>
      <x:c r="O103" s="26" t="str">
        <x:v>ADP_NOT_LOADED</x:v>
      </x:c>
      <x:c r="P103" s="26" t="str">
        <x:v>Projection-only v1.0</x:v>
      </x:c>
    </x:row>
    <x:row r="104">
      <x:c r="A104" s="26" t="str">
        <x:v>half_ppr</x:v>
      </x:c>
      <x:c r="B104" s="26" t="n">
        <x:v>100</x:v>
      </x:c>
      <x:c r="C104" s="26" t="n">
        <x:v>5</x:v>
      </x:c>
      <x:c r="D104" s="26" t="n">
        <x:v>9</x:v>
      </x:c>
      <x:c r="E104" s="26" t="n">
        <x:v>3</x:v>
      </x:c>
      <x:c r="F104" s="26" t="str">
        <x:v>Isaiah Likely</x:v>
      </x:c>
      <x:c r="G104" s="26" t="str">
        <x:v>NYG</x:v>
      </x:c>
      <x:c r="H104" s="26" t="str">
        <x:v>TE</x:v>
      </x:c>
      <x:c r="I104" s="28" t="n">
        <x:v>149.2</x:v>
      </x:c>
      <x:c r="J104" s="28" t="n">
        <x:v>143.3</x:v>
      </x:c>
      <x:c r="K104" s="28" t="n">
        <x:v>5.899999999999977</x:v>
      </x:c>
      <x:c r="L104" s="28" t="n">
        <x:v>0</x:v>
      </x:c>
      <x:c r="M104" s="28" t="n">
        <x:v>5.899999999999977</x:v>
      </x:c>
      <x:c r="N104" s="28"/>
      <x:c r="O104" s="26" t="str">
        <x:v>ADP_NOT_LOADED</x:v>
      </x:c>
      <x:c r="P104" s="26" t="str">
        <x:v>Projection-only v1.0</x:v>
      </x:c>
    </x:row>
    <x:row r="105">
      <x:c r="A105" s="26" t="str">
        <x:v>half_ppr</x:v>
      </x:c>
      <x:c r="B105" s="26" t="n">
        <x:v>101</x:v>
      </x:c>
      <x:c r="C105" s="26" t="n">
        <x:v>6</x:v>
      </x:c>
      <x:c r="D105" s="26" t="n">
        <x:v>36</x:v>
      </x:c>
      <x:c r="E105" s="26" t="n">
        <x:v>3</x:v>
      </x:c>
      <x:c r="F105" s="26" t="str">
        <x:v>Jonathon Brooks</x:v>
      </x:c>
      <x:c r="G105" s="26" t="str">
        <x:v>CAR</x:v>
      </x:c>
      <x:c r="H105" s="26" t="str">
        <x:v>RB</x:v>
      </x:c>
      <x:c r="I105" s="28" t="n">
        <x:v>129.2</x:v>
      </x:c>
      <x:c r="J105" s="28" t="n">
        <x:v>124.5</x:v>
      </x:c>
      <x:c r="K105" s="28" t="n">
        <x:v>4.699999999999989</x:v>
      </x:c>
      <x:c r="L105" s="28" t="n">
        <x:v>0</x:v>
      </x:c>
      <x:c r="M105" s="28" t="n">
        <x:v>4.699999999999989</x:v>
      </x:c>
      <x:c r="N105" s="28"/>
      <x:c r="O105" s="26" t="str">
        <x:v>ADP_NOT_LOADED</x:v>
      </x:c>
      <x:c r="P105" s="26" t="str">
        <x:v>Projection-only v1.0</x:v>
      </x:c>
    </x:row>
    <x:row r="106">
      <x:c r="A106" s="26" t="str">
        <x:v>half_ppr</x:v>
      </x:c>
      <x:c r="B106" s="26" t="n">
        <x:v>102</x:v>
      </x:c>
      <x:c r="C106" s="26" t="n">
        <x:v>6</x:v>
      </x:c>
      <x:c r="D106" s="26" t="n">
        <x:v>40</x:v>
      </x:c>
      <x:c r="E106" s="26" t="n">
        <x:v>4</x:v>
      </x:c>
      <x:c r="F106" s="26" t="str">
        <x:v>Blake Corum</x:v>
      </x:c>
      <x:c r="G106" s="26" t="str">
        <x:v>LAR</x:v>
      </x:c>
      <x:c r="H106" s="26" t="str">
        <x:v>RB</x:v>
      </x:c>
      <x:c r="I106" s="28" t="n">
        <x:v>128.1</x:v>
      </x:c>
      <x:c r="J106" s="28" t="n">
        <x:v>124.5</x:v>
      </x:c>
      <x:c r="K106" s="28" t="n">
        <x:v>3.5999999999999943</x:v>
      </x:c>
      <x:c r="L106" s="28" t="n">
        <x:v>0</x:v>
      </x:c>
      <x:c r="M106" s="28" t="n">
        <x:v>3.5999999999999943</x:v>
      </x:c>
      <x:c r="N106" s="28"/>
      <x:c r="O106" s="26" t="str">
        <x:v>ADP_NOT_LOADED</x:v>
      </x:c>
      <x:c r="P106" s="26" t="str">
        <x:v>Projection-only v1.0</x:v>
      </x:c>
    </x:row>
    <x:row r="107">
      <x:c r="A107" s="26" t="str">
        <x:v>half_ppr</x:v>
      </x:c>
      <x:c r="B107" s="26" t="n">
        <x:v>103</x:v>
      </x:c>
      <x:c r="C107" s="26" t="n">
        <x:v>6</x:v>
      </x:c>
      <x:c r="D107" s="26" t="n">
        <x:v>11</x:v>
      </x:c>
      <x:c r="E107" s="26" t="n">
        <x:v>3</x:v>
      </x:c>
      <x:c r="F107" s="26" t="str">
        <x:v>Bo Nix</x:v>
      </x:c>
      <x:c r="G107" s="26" t="str">
        <x:v>DEN</x:v>
      </x:c>
      <x:c r="H107" s="26" t="str">
        <x:v>QB</x:v>
      </x:c>
      <x:c r="I107" s="28" t="n">
        <x:v>294.1</x:v>
      </x:c>
      <x:c r="J107" s="28" t="n">
        <x:v>290.6</x:v>
      </x:c>
      <x:c r="K107" s="28" t="n">
        <x:v>3.5</x:v>
      </x:c>
      <x:c r="L107" s="28" t="n">
        <x:v>0</x:v>
      </x:c>
      <x:c r="M107" s="28" t="n">
        <x:v>3.5</x:v>
      </x:c>
      <x:c r="N107" s="28"/>
      <x:c r="O107" s="26" t="str">
        <x:v>ADP_NOT_LOADED</x:v>
      </x:c>
      <x:c r="P107" s="26" t="str">
        <x:v>Projection-only v1.0</x:v>
      </x:c>
    </x:row>
    <x:row r="108">
      <x:c r="A108" s="26" t="str">
        <x:v>half_ppr</x:v>
      </x:c>
      <x:c r="B108" s="26" t="n">
        <x:v>104</x:v>
      </x:c>
      <x:c r="C108" s="26" t="n">
        <x:v>6</x:v>
      </x:c>
      <x:c r="D108" s="26" t="n">
        <x:v>39</x:v>
      </x:c>
      <x:c r="E108" s="26" t="n">
        <x:v>4</x:v>
      </x:c>
      <x:c r="F108" s="26" t="str">
        <x:v>J.K. Dobbins</x:v>
      </x:c>
      <x:c r="G108" s="26" t="str">
        <x:v>DEN</x:v>
      </x:c>
      <x:c r="H108" s="26" t="str">
        <x:v>RB</x:v>
      </x:c>
      <x:c r="I108" s="28" t="n">
        <x:v>127.7</x:v>
      </x:c>
      <x:c r="J108" s="28" t="n">
        <x:v>124.5</x:v>
      </x:c>
      <x:c r="K108" s="28" t="n">
        <x:v>3.200000000000003</x:v>
      </x:c>
      <x:c r="L108" s="28" t="n">
        <x:v>0</x:v>
      </x:c>
      <x:c r="M108" s="28" t="n">
        <x:v>3.200000000000003</x:v>
      </x:c>
      <x:c r="N108" s="28"/>
      <x:c r="O108" s="26" t="str">
        <x:v>ADP_NOT_LOADED</x:v>
      </x:c>
      <x:c r="P108" s="26" t="str">
        <x:v>Projection-only v1.0</x:v>
      </x:c>
    </x:row>
    <x:row r="109">
      <x:c r="A109" s="26" t="str">
        <x:v>half_ppr</x:v>
      </x:c>
      <x:c r="B109" s="26" t="n">
        <x:v>105</x:v>
      </x:c>
      <x:c r="C109" s="26" t="n">
        <x:v>6</x:v>
      </x:c>
      <x:c r="D109" s="26" t="n">
        <x:v>12</x:v>
      </x:c>
      <x:c r="E109" s="26" t="n">
        <x:v>3</x:v>
      </x:c>
      <x:c r="F109" s="26" t="str">
        <x:v>Dak Prescott</x:v>
      </x:c>
      <x:c r="G109" s="26" t="str">
        <x:v>DAL</x:v>
      </x:c>
      <x:c r="H109" s="26" t="str">
        <x:v>QB</x:v>
      </x:c>
      <x:c r="I109" s="28" t="n">
        <x:v>292.6</x:v>
      </x:c>
      <x:c r="J109" s="28" t="n">
        <x:v>290.6</x:v>
      </x:c>
      <x:c r="K109" s="28" t="n">
        <x:v>2</x:v>
      </x:c>
      <x:c r="L109" s="28" t="n">
        <x:v>0</x:v>
      </x:c>
      <x:c r="M109" s="28" t="n">
        <x:v>2</x:v>
      </x:c>
      <x:c r="N109" s="28"/>
      <x:c r="O109" s="26" t="str">
        <x:v>ADP_NOT_LOADED</x:v>
      </x:c>
      <x:c r="P109" s="26" t="str">
        <x:v>Projection-only v1.0</x:v>
      </x:c>
    </x:row>
    <x:row r="110">
      <x:c r="A110" s="26" t="str">
        <x:v>half_ppr</x:v>
      </x:c>
      <x:c r="B110" s="26" t="n">
        <x:v>106</x:v>
      </x:c>
      <x:c r="C110" s="26" t="n">
        <x:v>6</x:v>
      </x:c>
      <x:c r="D110" s="26" t="n">
        <x:v>8</x:v>
      </x:c>
      <x:c r="E110" s="26" t="n">
        <x:v>2</x:v>
      </x:c>
      <x:c r="F110" s="26" t="str">
        <x:v>Jake Ferguson</x:v>
      </x:c>
      <x:c r="G110" s="26" t="str">
        <x:v>DAL</x:v>
      </x:c>
      <x:c r="H110" s="26" t="str">
        <x:v>TE</x:v>
      </x:c>
      <x:c r="I110" s="28" t="n">
        <x:v>144.2</x:v>
      </x:c>
      <x:c r="J110" s="28" t="n">
        <x:v>143.3</x:v>
      </x:c>
      <x:c r="K110" s="28" t="n">
        <x:v>0.8999999999999773</x:v>
      </x:c>
      <x:c r="L110" s="28" t="n">
        <x:v>0</x:v>
      </x:c>
      <x:c r="M110" s="28" t="n">
        <x:v>0.8999999999999773</x:v>
      </x:c>
      <x:c r="N110" s="28"/>
      <x:c r="O110" s="26" t="str">
        <x:v>ADP_NOT_LOADED</x:v>
      </x:c>
      <x:c r="P110" s="26" t="str">
        <x:v>Projection-only v1.0</x:v>
      </x:c>
    </x:row>
    <x:row r="111">
      <x:c r="A111" s="26" t="str">
        <x:v>half_ppr</x:v>
      </x:c>
      <x:c r="B111" s="26" t="n">
        <x:v>107</x:v>
      </x:c>
      <x:c r="C111" s="26" t="n">
        <x:v>6</x:v>
      </x:c>
      <x:c r="D111" s="26" t="n">
        <x:v>11</x:v>
      </x:c>
      <x:c r="E111" s="26" t="n">
        <x:v>3</x:v>
      </x:c>
      <x:c r="F111" s="26" t="str">
        <x:v>Dallas Goedert</x:v>
      </x:c>
      <x:c r="G111" s="26" t="str">
        <x:v>PHI</x:v>
      </x:c>
      <x:c r="H111" s="26" t="str">
        <x:v>TE</x:v>
      </x:c>
      <x:c r="I111" s="28" t="n">
        <x:v>143.5</x:v>
      </x:c>
      <x:c r="J111" s="28" t="n">
        <x:v>143.3</x:v>
      </x:c>
      <x:c r="K111" s="28" t="n">
        <x:v>0.19999999999998863</x:v>
      </x:c>
      <x:c r="L111" s="28" t="n">
        <x:v>0</x:v>
      </x:c>
      <x:c r="M111" s="28" t="n">
        <x:v>0.19999999999998863</x:v>
      </x:c>
      <x:c r="N111" s="28"/>
      <x:c r="O111" s="26" t="str">
        <x:v>ADP_NOT_LOADED</x:v>
      </x:c>
      <x:c r="P111" s="26" t="str">
        <x:v>Projection-only v1.0</x:v>
      </x:c>
    </x:row>
    <x:row r="112">
      <x:c r="A112" s="26" t="str">
        <x:v>half_ppr</x:v>
      </x:c>
      <x:c r="B112" s="26" t="n">
        <x:v>108</x:v>
      </x:c>
      <x:c r="C112" s="26" t="n">
        <x:v>6</x:v>
      </x:c>
      <x:c r="D112" s="26" t="n">
        <x:v>10</x:v>
      </x:c>
      <x:c r="E112" s="26" t="n">
        <x:v>3</x:v>
      </x:c>
      <x:c r="F112" s="26" t="str">
        <x:v>Travis Kelce</x:v>
      </x:c>
      <x:c r="G112" s="26" t="str">
        <x:v>KC</x:v>
      </x:c>
      <x:c r="H112" s="26" t="str">
        <x:v>TE</x:v>
      </x:c>
      <x:c r="I112" s="28" t="n">
        <x:v>143.5</x:v>
      </x:c>
      <x:c r="J112" s="28" t="n">
        <x:v>143.3</x:v>
      </x:c>
      <x:c r="K112" s="28" t="n">
        <x:v>0.19999999999998863</x:v>
      </x:c>
      <x:c r="L112" s="28" t="n">
        <x:v>0</x:v>
      </x:c>
      <x:c r="M112" s="28" t="n">
        <x:v>0.19999999999998863</x:v>
      </x:c>
      <x:c r="N112" s="28"/>
      <x:c r="O112" s="26" t="str">
        <x:v>ADP_NOT_LOADED</x:v>
      </x:c>
      <x:c r="P112" s="26" t="str">
        <x:v>Projection-only v1.0</x:v>
      </x:c>
    </x:row>
    <x:row r="113">
      <x:c r="A113" s="26" t="str">
        <x:v>half_ppr</x:v>
      </x:c>
      <x:c r="B113" s="26" t="n">
        <x:v>109</x:v>
      </x:c>
      <x:c r="C113" s="26" t="n">
        <x:v>6</x:v>
      </x:c>
      <x:c r="D113" s="26" t="n">
        <x:v>13</x:v>
      </x:c>
      <x:c r="E113" s="26" t="n">
        <x:v>3</x:v>
      </x:c>
      <x:c r="F113" s="26" t="str">
        <x:v>Brock Purdy</x:v>
      </x:c>
      <x:c r="G113" s="26" t="str">
        <x:v>SF</x:v>
      </x:c>
      <x:c r="H113" s="26" t="str">
        <x:v>QB</x:v>
      </x:c>
      <x:c r="I113" s="28" t="n">
        <x:v>290.6</x:v>
      </x:c>
      <x:c r="J113" s="28" t="n">
        <x:v>290.6</x:v>
      </x:c>
      <x:c r="K113" s="28" t="n">
        <x:v>0</x:v>
      </x:c>
      <x:c r="L113" s="28" t="n">
        <x:v>0</x:v>
      </x:c>
      <x:c r="M113" s="28" t="n">
        <x:v>0</x:v>
      </x:c>
      <x:c r="N113" s="28"/>
      <x:c r="O113" s="26" t="str">
        <x:v>ADP_NOT_LOADED</x:v>
      </x:c>
      <x:c r="P113" s="26" t="str">
        <x:v>Projection-only v1.0</x:v>
      </x:c>
    </x:row>
    <x:row r="114">
      <x:c r="A114" s="26" t="str">
        <x:v>half_ppr</x:v>
      </x:c>
      <x:c r="B114" s="26" t="n">
        <x:v>110</x:v>
      </x:c>
      <x:c r="C114" s="26" t="n">
        <x:v>6</x:v>
      </x:c>
      <x:c r="D114" s="26" t="n">
        <x:v>13</x:v>
      </x:c>
      <x:c r="E114" s="26" t="n">
        <x:v>3</x:v>
      </x:c>
      <x:c r="F114" s="26" t="str">
        <x:v>Tucker Kraft</x:v>
      </x:c>
      <x:c r="G114" s="26" t="str">
        <x:v>GB</x:v>
      </x:c>
      <x:c r="H114" s="26" t="str">
        <x:v>TE</x:v>
      </x:c>
      <x:c r="I114" s="28" t="n">
        <x:v>143.3</x:v>
      </x:c>
      <x:c r="J114" s="28" t="n">
        <x:v>143.3</x:v>
      </x:c>
      <x:c r="K114" s="28" t="n">
        <x:v>0</x:v>
      </x:c>
      <x:c r="L114" s="28" t="n">
        <x:v>0</x:v>
      </x:c>
      <x:c r="M114" s="28" t="n">
        <x:v>0</x:v>
      </x:c>
      <x:c r="N114" s="28"/>
      <x:c r="O114" s="26" t="str">
        <x:v>ADP_NOT_LOADED</x:v>
      </x:c>
      <x:c r="P114" s="26" t="str">
        <x:v>Projection-only v1.0</x:v>
      </x:c>
    </x:row>
    <x:row r="115">
      <x:c r="A115" s="26" t="str">
        <x:v>half_ppr</x:v>
      </x:c>
      <x:c r="B115" s="26" t="n">
        <x:v>111</x:v>
      </x:c>
      <x:c r="C115" s="26" t="n">
        <x:v>6</x:v>
      </x:c>
      <x:c r="D115" s="26" t="n">
        <x:v>37</x:v>
      </x:c>
      <x:c r="E115" s="26" t="n">
        <x:v>4</x:v>
      </x:c>
      <x:c r="F115" s="26" t="str">
        <x:v>Aaron Jones Sr.</x:v>
      </x:c>
      <x:c r="G115" s="26" t="str">
        <x:v>MIN</x:v>
      </x:c>
      <x:c r="H115" s="26" t="str">
        <x:v>RB</x:v>
      </x:c>
      <x:c r="I115" s="28" t="n">
        <x:v>124.5</x:v>
      </x:c>
      <x:c r="J115" s="28" t="n">
        <x:v>124.5</x:v>
      </x:c>
      <x:c r="K115" s="28" t="n">
        <x:v>0</x:v>
      </x:c>
      <x:c r="L115" s="28" t="n">
        <x:v>0</x:v>
      </x:c>
      <x:c r="M115" s="28" t="n">
        <x:v>0</x:v>
      </x:c>
      <x:c r="N115" s="28"/>
      <x:c r="O115" s="26" t="str">
        <x:v>ADP_NOT_LOADED</x:v>
      </x:c>
      <x:c r="P115" s="26" t="str">
        <x:v>Projection-only v1.0</x:v>
      </x:c>
    </x:row>
    <x:row r="116">
      <x:c r="A116" s="26" t="str">
        <x:v>half_ppr</x:v>
      </x:c>
      <x:c r="B116" s="26" t="n">
        <x:v>112</x:v>
      </x:c>
      <x:c r="C116" s="26" t="n">
        <x:v>6</x:v>
      </x:c>
      <x:c r="D116" s="26" t="n">
        <x:v>49</x:v>
      </x:c>
      <x:c r="E116" s="26" t="n">
        <x:v>4</x:v>
      </x:c>
      <x:c r="F116" s="26" t="str">
        <x:v>Adonai Mitchell</x:v>
      </x:c>
      <x:c r="G116" s="26" t="str">
        <x:v>NYJ</x:v>
      </x:c>
      <x:c r="H116" s="26" t="str">
        <x:v>WR</x:v>
      </x:c>
      <x:c r="I116" s="28" t="n">
        <x:v>110.6</x:v>
      </x:c>
      <x:c r="J116" s="28" t="n">
        <x:v>110.6</x:v>
      </x:c>
      <x:c r="K116" s="28" t="n">
        <x:v>0</x:v>
      </x:c>
      <x:c r="L116" s="28" t="n">
        <x:v>0</x:v>
      </x:c>
      <x:c r="M116" s="28" t="n">
        <x:v>0</x:v>
      </x:c>
      <x:c r="N116" s="28"/>
      <x:c r="O116" s="26" t="str">
        <x:v>ADP_NOT_LOADED</x:v>
      </x:c>
      <x:c r="P116" s="26" t="str">
        <x:v>Projection-only v1.0</x:v>
      </x:c>
    </x:row>
    <x:row r="117">
      <x:c r="A117" s="26" t="str">
        <x:v>half_ppr</x:v>
      </x:c>
      <x:c r="B117" s="26" t="n">
        <x:v>113</x:v>
      </x:c>
      <x:c r="C117" s="26" t="n">
        <x:v>6</x:v>
      </x:c>
      <x:c r="D117" s="26" t="n">
        <x:v>50</x:v>
      </x:c>
      <x:c r="E117" s="26" t="n">
        <x:v>4</x:v>
      </x:c>
      <x:c r="F117" s="26" t="str">
        <x:v>Carnell Tate</x:v>
      </x:c>
      <x:c r="G117" s="26" t="str">
        <x:v>TEN</x:v>
      </x:c>
      <x:c r="H117" s="26" t="str">
        <x:v>WR</x:v>
      </x:c>
      <x:c r="I117" s="28" t="n">
        <x:v>109.8</x:v>
      </x:c>
      <x:c r="J117" s="28" t="n">
        <x:v>110.6</x:v>
      </x:c>
      <x:c r="K117" s="28" t="n">
        <x:v>-0.7999999999999972</x:v>
      </x:c>
      <x:c r="L117" s="28" t="n">
        <x:v>0</x:v>
      </x:c>
      <x:c r="M117" s="28" t="n">
        <x:v>-0.7999999999999972</x:v>
      </x:c>
      <x:c r="N117" s="28"/>
      <x:c r="O117" s="26" t="str">
        <x:v>ADP_NOT_LOADED</x:v>
      </x:c>
      <x:c r="P117" s="26" t="str">
        <x:v>Projection-only v1.0</x:v>
      </x:c>
    </x:row>
    <x:row r="118">
      <x:c r="A118" s="26" t="str">
        <x:v>half_ppr</x:v>
      </x:c>
      <x:c r="B118" s="26" t="n">
        <x:v>114</x:v>
      </x:c>
      <x:c r="C118" s="26" t="n">
        <x:v>6</x:v>
      </x:c>
      <x:c r="D118" s="26" t="n">
        <x:v>12</x:v>
      </x:c>
      <x:c r="E118" s="26" t="n">
        <x:v>3</x:v>
      </x:c>
      <x:c r="F118" s="26" t="str">
        <x:v>Dalton Kincaid</x:v>
      </x:c>
      <x:c r="G118" s="26" t="str">
        <x:v>BUF</x:v>
      </x:c>
      <x:c r="H118" s="26" t="str">
        <x:v>TE</x:v>
      </x:c>
      <x:c r="I118" s="28" t="n">
        <x:v>142.4</x:v>
      </x:c>
      <x:c r="J118" s="28" t="n">
        <x:v>143.3</x:v>
      </x:c>
      <x:c r="K118" s="28" t="n">
        <x:v>-0.9000000000000057</x:v>
      </x:c>
      <x:c r="L118" s="28" t="n">
        <x:v>0</x:v>
      </x:c>
      <x:c r="M118" s="28" t="n">
        <x:v>-0.9000000000000057</x:v>
      </x:c>
      <x:c r="N118" s="28"/>
      <x:c r="O118" s="26" t="str">
        <x:v>ADP_NOT_LOADED</x:v>
      </x:c>
      <x:c r="P118" s="26" t="str">
        <x:v>Projection-only v1.0</x:v>
      </x:c>
    </x:row>
    <x:row r="119">
      <x:c r="A119" s="26" t="str">
        <x:v>half_ppr</x:v>
      </x:c>
      <x:c r="B119" s="26" t="n">
        <x:v>115</x:v>
      </x:c>
      <x:c r="C119" s="26" t="n">
        <x:v>6</x:v>
      </x:c>
      <x:c r="D119" s="26" t="n">
        <x:v>14</x:v>
      </x:c>
      <x:c r="E119" s="26" t="n">
        <x:v>3</x:v>
      </x:c>
      <x:c r="F119" s="26" t="str">
        <x:v>Jared Goff</x:v>
      </x:c>
      <x:c r="G119" s="26" t="str">
        <x:v>DET</x:v>
      </x:c>
      <x:c r="H119" s="26" t="str">
        <x:v>QB</x:v>
      </x:c>
      <x:c r="I119" s="28" t="n">
        <x:v>289.5</x:v>
      </x:c>
      <x:c r="J119" s="28" t="n">
        <x:v>290.6</x:v>
      </x:c>
      <x:c r="K119" s="28" t="n">
        <x:v>-1.1000000000000227</x:v>
      </x:c>
      <x:c r="L119" s="28" t="n">
        <x:v>0</x:v>
      </x:c>
      <x:c r="M119" s="28" t="n">
        <x:v>-1.1000000000000227</x:v>
      </x:c>
      <x:c r="N119" s="28"/>
      <x:c r="O119" s="26" t="str">
        <x:v>ADP_NOT_LOADED</x:v>
      </x:c>
      <x:c r="P119" s="26" t="str">
        <x:v>Projection-only v1.0</x:v>
      </x:c>
    </x:row>
    <x:row r="120">
      <x:c r="A120" s="26" t="str">
        <x:v>half_ppr</x:v>
      </x:c>
      <x:c r="B120" s="26" t="n">
        <x:v>116</x:v>
      </x:c>
      <x:c r="C120" s="26" t="n">
        <x:v>6</x:v>
      </x:c>
      <x:c r="D120" s="26" t="n">
        <x:v>48</x:v>
      </x:c>
      <x:c r="E120" s="26" t="n">
        <x:v>4</x:v>
      </x:c>
      <x:c r="F120" s="26" t="str">
        <x:v>Chris Godwin Jr.</x:v>
      </x:c>
      <x:c r="G120" s="26" t="str">
        <x:v>TB</x:v>
      </x:c>
      <x:c r="H120" s="26" t="str">
        <x:v>WR</x:v>
      </x:c>
      <x:c r="I120" s="28" t="n">
        <x:v>109.2</x:v>
      </x:c>
      <x:c r="J120" s="28" t="n">
        <x:v>110.6</x:v>
      </x:c>
      <x:c r="K120" s="28" t="n">
        <x:v>-1.3999999999999915</x:v>
      </x:c>
      <x:c r="L120" s="28" t="n">
        <x:v>0</x:v>
      </x:c>
      <x:c r="M120" s="28" t="n">
        <x:v>-1.3999999999999915</x:v>
      </x:c>
      <x:c r="N120" s="28"/>
      <x:c r="O120" s="26" t="str">
        <x:v>ADP_NOT_LOADED</x:v>
      </x:c>
      <x:c r="P120" s="26" t="str">
        <x:v>Projection-only v1.0</x:v>
      </x:c>
    </x:row>
    <x:row r="121">
      <x:c r="A121" s="26" t="str">
        <x:v>half_ppr</x:v>
      </x:c>
      <x:c r="B121" s="26" t="n">
        <x:v>117</x:v>
      </x:c>
      <x:c r="C121" s="26" t="n">
        <x:v>6</x:v>
      </x:c>
      <x:c r="D121" s="26" t="n">
        <x:v>14</x:v>
      </x:c>
      <x:c r="E121" s="26" t="n">
        <x:v>3</x:v>
      </x:c>
      <x:c r="F121" s="26" t="str">
        <x:v>Mark Andrews</x:v>
      </x:c>
      <x:c r="G121" s="26" t="str">
        <x:v>BAL</x:v>
      </x:c>
      <x:c r="H121" s="26" t="str">
        <x:v>TE</x:v>
      </x:c>
      <x:c r="I121" s="28" t="n">
        <x:v>141.1</x:v>
      </x:c>
      <x:c r="J121" s="28" t="n">
        <x:v>143.3</x:v>
      </x:c>
      <x:c r="K121" s="28" t="n">
        <x:v>-2.200000000000017</x:v>
      </x:c>
      <x:c r="L121" s="28" t="n">
        <x:v>0</x:v>
      </x:c>
      <x:c r="M121" s="28" t="n">
        <x:v>-2.200000000000017</x:v>
      </x:c>
      <x:c r="N121" s="28"/>
      <x:c r="O121" s="26" t="str">
        <x:v>ADP_NOT_LOADED</x:v>
      </x:c>
      <x:c r="P121" s="26" t="str">
        <x:v>Projection-only v1.0</x:v>
      </x:c>
    </x:row>
    <x:row r="122">
      <x:c r="A122" s="26" t="str">
        <x:v>half_ppr</x:v>
      </x:c>
      <x:c r="B122" s="26" t="n">
        <x:v>118</x:v>
      </x:c>
      <x:c r="C122" s="26" t="n">
        <x:v>6</x:v>
      </x:c>
      <x:c r="D122" s="26" t="n">
        <x:v>54</x:v>
      </x:c>
      <x:c r="E122" s="26" t="n">
        <x:v>4</x:v>
      </x:c>
      <x:c r="F122" s="26" t="str">
        <x:v>Rashid Shaheed</x:v>
      </x:c>
      <x:c r="G122" s="26" t="str">
        <x:v>SEA</x:v>
      </x:c>
      <x:c r="H122" s="26" t="str">
        <x:v>WR</x:v>
      </x:c>
      <x:c r="I122" s="28" t="n">
        <x:v>108</x:v>
      </x:c>
      <x:c r="J122" s="28" t="n">
        <x:v>110.6</x:v>
      </x:c>
      <x:c r="K122" s="28" t="n">
        <x:v>-2.5999999999999943</x:v>
      </x:c>
      <x:c r="L122" s="28" t="n">
        <x:v>0</x:v>
      </x:c>
      <x:c r="M122" s="28" t="n">
        <x:v>-2.5999999999999943</x:v>
      </x:c>
      <x:c r="N122" s="28"/>
      <x:c r="O122" s="26" t="str">
        <x:v>ADP_NOT_LOADED</x:v>
      </x:c>
      <x:c r="P122" s="26" t="str">
        <x:v>Projection-only v1.0</x:v>
      </x:c>
    </x:row>
    <x:row r="123">
      <x:c r="A123" s="26" t="str">
        <x:v>half_ppr</x:v>
      </x:c>
      <x:c r="B123" s="26" t="n">
        <x:v>119</x:v>
      </x:c>
      <x:c r="C123" s="26" t="n">
        <x:v>6</x:v>
      </x:c>
      <x:c r="D123" s="26" t="n">
        <x:v>52</x:v>
      </x:c>
      <x:c r="E123" s="26" t="n">
        <x:v>4</x:v>
      </x:c>
      <x:c r="F123" s="26" t="str">
        <x:v>Jerry Jeudy</x:v>
      </x:c>
      <x:c r="G123" s="26" t="str">
        <x:v>CLE</x:v>
      </x:c>
      <x:c r="H123" s="26" t="str">
        <x:v>WR</x:v>
      </x:c>
      <x:c r="I123" s="28" t="n">
        <x:v>106.5</x:v>
      </x:c>
      <x:c r="J123" s="28" t="n">
        <x:v>110.6</x:v>
      </x:c>
      <x:c r="K123" s="28" t="n">
        <x:v>-4.099999999999994</x:v>
      </x:c>
      <x:c r="L123" s="28" t="n">
        <x:v>0</x:v>
      </x:c>
      <x:c r="M123" s="28" t="n">
        <x:v>-4.099999999999994</x:v>
      </x:c>
      <x:c r="N123" s="28"/>
      <x:c r="O123" s="26" t="str">
        <x:v>ADP_NOT_LOADED</x:v>
      </x:c>
      <x:c r="P123" s="26" t="str">
        <x:v>Projection-only v1.0</x:v>
      </x:c>
    </x:row>
    <x:row r="124">
      <x:c r="A124" s="26" t="str">
        <x:v>half_ppr</x:v>
      </x:c>
      <x:c r="B124" s="26" t="n">
        <x:v>120</x:v>
      </x:c>
      <x:c r="C124" s="26" t="n">
        <x:v>6</x:v>
      </x:c>
      <x:c r="D124" s="26" t="n">
        <x:v>15</x:v>
      </x:c>
      <x:c r="E124" s="26" t="n">
        <x:v>4</x:v>
      </x:c>
      <x:c r="F124" s="26" t="str">
        <x:v>Patrick Mahomes</x:v>
      </x:c>
      <x:c r="G124" s="26" t="str">
        <x:v>KC</x:v>
      </x:c>
      <x:c r="H124" s="26" t="str">
        <x:v>QB</x:v>
      </x:c>
      <x:c r="I124" s="28" t="n">
        <x:v>285.3</x:v>
      </x:c>
      <x:c r="J124" s="28" t="n">
        <x:v>290.6</x:v>
      </x:c>
      <x:c r="K124" s="28" t="n">
        <x:v>-5.300000000000011</x:v>
      </x:c>
      <x:c r="L124" s="28" t="n">
        <x:v>0</x:v>
      </x:c>
      <x:c r="M124" s="28" t="n">
        <x:v>-5.300000000000011</x:v>
      </x:c>
      <x:c r="N124" s="28"/>
      <x:c r="O124" s="26" t="str">
        <x:v>ADP_NOT_LOADED</x:v>
      </x:c>
      <x:c r="P124" s="26" t="str">
        <x:v>Projection-only v1.0</x:v>
      </x:c>
    </x:row>
    <x:row r="125">
      <x:c r="A125" s="26" t="str">
        <x:v>half_ppr</x:v>
      </x:c>
      <x:c r="B125" s="26" t="n">
        <x:v>121</x:v>
      </x:c>
      <x:c r="C125" s="26" t="n">
        <x:v>6</x:v>
      </x:c>
      <x:c r="D125" s="26" t="n">
        <x:v>51</x:v>
      </x:c>
      <x:c r="E125" s="26" t="n">
        <x:v>4</x:v>
      </x:c>
      <x:c r="F125" s="26" t="str">
        <x:v>Khalil Shakir</x:v>
      </x:c>
      <x:c r="G125" s="26" t="str">
        <x:v>BUF</x:v>
      </x:c>
      <x:c r="H125" s="26" t="str">
        <x:v>WR</x:v>
      </x:c>
      <x:c r="I125" s="28" t="n">
        <x:v>105.2</x:v>
      </x:c>
      <x:c r="J125" s="28" t="n">
        <x:v>110.6</x:v>
      </x:c>
      <x:c r="K125" s="28" t="n">
        <x:v>-5.3999999999999915</x:v>
      </x:c>
      <x:c r="L125" s="28" t="n">
        <x:v>0</x:v>
      </x:c>
      <x:c r="M125" s="28" t="n">
        <x:v>-5.3999999999999915</x:v>
      </x:c>
      <x:c r="N125" s="28"/>
      <x:c r="O125" s="26" t="str">
        <x:v>ADP_NOT_LOADED</x:v>
      </x:c>
      <x:c r="P125" s="26" t="str">
        <x:v>Projection-only v1.0</x:v>
      </x:c>
    </x:row>
    <x:row r="126">
      <x:c r="A126" s="26" t="str">
        <x:v>half_ppr</x:v>
      </x:c>
      <x:c r="B126" s="26" t="n">
        <x:v>122</x:v>
      </x:c>
      <x:c r="C126" s="26" t="n">
        <x:v>6</x:v>
      </x:c>
      <x:c r="D126" s="26" t="n">
        <x:v>38</x:v>
      </x:c>
      <x:c r="E126" s="26" t="n">
        <x:v>4</x:v>
      </x:c>
      <x:c r="F126" s="26" t="str">
        <x:v>RJ Harvey</x:v>
      </x:c>
      <x:c r="G126" s="26" t="str">
        <x:v>DEN</x:v>
      </x:c>
      <x:c r="H126" s="26" t="str">
        <x:v>RB</x:v>
      </x:c>
      <x:c r="I126" s="28" t="n">
        <x:v>118.7</x:v>
      </x:c>
      <x:c r="J126" s="28" t="n">
        <x:v>124.5</x:v>
      </x:c>
      <x:c r="K126" s="28" t="n">
        <x:v>-5.799999999999997</x:v>
      </x:c>
      <x:c r="L126" s="28" t="n">
        <x:v>0</x:v>
      </x:c>
      <x:c r="M126" s="28" t="n">
        <x:v>-5.799999999999997</x:v>
      </x:c>
      <x:c r="N126" s="28"/>
      <x:c r="O126" s="26" t="str">
        <x:v>ADP_NOT_LOADED</x:v>
      </x:c>
      <x:c r="P126" s="26" t="str">
        <x:v>Projection-only v1.0</x:v>
      </x:c>
    </x:row>
    <x:row r="127">
      <x:c r="A127" s="26" t="str">
        <x:v>half_ppr</x:v>
      </x:c>
      <x:c r="B127" s="26" t="n">
        <x:v>123</x:v>
      </x:c>
      <x:c r="C127" s="26" t="n">
        <x:v>6</x:v>
      </x:c>
      <x:c r="D127" s="26" t="n">
        <x:v>53</x:v>
      </x:c>
      <x:c r="E127" s="26" t="n">
        <x:v>4</x:v>
      </x:c>
      <x:c r="F127" s="26" t="str">
        <x:v>Denzel Boston</x:v>
      </x:c>
      <x:c r="G127" s="26" t="str">
        <x:v>CLE</x:v>
      </x:c>
      <x:c r="H127" s="26" t="str">
        <x:v>WR</x:v>
      </x:c>
      <x:c r="I127" s="28" t="n">
        <x:v>104.1</x:v>
      </x:c>
      <x:c r="J127" s="28" t="n">
        <x:v>110.6</x:v>
      </x:c>
      <x:c r="K127" s="28" t="n">
        <x:v>-6.5</x:v>
      </x:c>
      <x:c r="L127" s="28" t="n">
        <x:v>0</x:v>
      </x:c>
      <x:c r="M127" s="28" t="n">
        <x:v>-6.5</x:v>
      </x:c>
      <x:c r="N127" s="28"/>
      <x:c r="O127" s="26" t="str">
        <x:v>ADP_NOT_LOADED</x:v>
      </x:c>
      <x:c r="P127" s="26" t="str">
        <x:v>Projection-only v1.0</x:v>
      </x:c>
    </x:row>
    <x:row r="128">
      <x:c r="A128" s="26" t="str">
        <x:v>half_ppr</x:v>
      </x:c>
      <x:c r="B128" s="26" t="n">
        <x:v>124</x:v>
      </x:c>
      <x:c r="C128" s="26" t="n">
        <x:v>6</x:v>
      </x:c>
      <x:c r="D128" s="26" t="n">
        <x:v>55</x:v>
      </x:c>
      <x:c r="E128" s="26" t="n">
        <x:v>4</x:v>
      </x:c>
      <x:c r="F128" s="26" t="str">
        <x:v>Jauan Jennings</x:v>
      </x:c>
      <x:c r="G128" s="26" t="str">
        <x:v>MIN</x:v>
      </x:c>
      <x:c r="H128" s="26" t="str">
        <x:v>WR</x:v>
      </x:c>
      <x:c r="I128" s="28" t="n">
        <x:v>102.6</x:v>
      </x:c>
      <x:c r="J128" s="28" t="n">
        <x:v>110.6</x:v>
      </x:c>
      <x:c r="K128" s="28" t="n">
        <x:v>-8</x:v>
      </x:c>
      <x:c r="L128" s="28" t="n">
        <x:v>0</x:v>
      </x:c>
      <x:c r="M128" s="28" t="n">
        <x:v>-8</x:v>
      </x:c>
      <x:c r="N128" s="28"/>
      <x:c r="O128" s="26" t="str">
        <x:v>ADP_NOT_LOADED</x:v>
      </x:c>
      <x:c r="P128" s="26" t="str">
        <x:v>Projection-only v1.0</x:v>
      </x:c>
    </x:row>
    <x:row r="129">
      <x:c r="A129" s="26" t="str">
        <x:v>half_ppr</x:v>
      </x:c>
      <x:c r="B129" s="26" t="n">
        <x:v>125</x:v>
      </x:c>
      <x:c r="C129" s="26" t="n">
        <x:v>6</x:v>
      </x:c>
      <x:c r="D129" s="26" t="n">
        <x:v>56</x:v>
      </x:c>
      <x:c r="E129" s="26" t="n">
        <x:v>4</x:v>
      </x:c>
      <x:c r="F129" s="26" t="str">
        <x:v>Tre' Harris</x:v>
      </x:c>
      <x:c r="G129" s="26" t="str">
        <x:v>LAC</x:v>
      </x:c>
      <x:c r="H129" s="26" t="str">
        <x:v>WR</x:v>
      </x:c>
      <x:c r="I129" s="28" t="n">
        <x:v>100.8</x:v>
      </x:c>
      <x:c r="J129" s="28" t="n">
        <x:v>110.6</x:v>
      </x:c>
      <x:c r="K129" s="28" t="n">
        <x:v>-9.799999999999997</x:v>
      </x:c>
      <x:c r="L129" s="28" t="n">
        <x:v>0</x:v>
      </x:c>
      <x:c r="M129" s="28" t="n">
        <x:v>-9.799999999999997</x:v>
      </x:c>
      <x:c r="N129" s="28"/>
      <x:c r="O129" s="26" t="str">
        <x:v>ADP_NOT_LOADED</x:v>
      </x:c>
      <x:c r="P129" s="26" t="str">
        <x:v>Projection-only v1.0</x:v>
      </x:c>
    </x:row>
    <x:row r="130">
      <x:c r="A130" s="26" t="str">
        <x:v>half_ppr</x:v>
      </x:c>
      <x:c r="B130" s="26" t="n">
        <x:v>126</x:v>
      </x:c>
      <x:c r="C130" s="26" t="n">
        <x:v>6</x:v>
      </x:c>
      <x:c r="D130" s="26" t="n">
        <x:v>59</x:v>
      </x:c>
      <x:c r="E130" s="26" t="n">
        <x:v>4</x:v>
      </x:c>
      <x:c r="F130" s="26" t="str">
        <x:v>Calvin Ridley</x:v>
      </x:c>
      <x:c r="G130" s="26" t="str">
        <x:v>TEN</x:v>
      </x:c>
      <x:c r="H130" s="26" t="str">
        <x:v>WR</x:v>
      </x:c>
      <x:c r="I130" s="28" t="n">
        <x:v>98.8</x:v>
      </x:c>
      <x:c r="J130" s="28" t="n">
        <x:v>110.6</x:v>
      </x:c>
      <x:c r="K130" s="28" t="n">
        <x:v>-11.799999999999997</x:v>
      </x:c>
      <x:c r="L130" s="28" t="n">
        <x:v>0</x:v>
      </x:c>
      <x:c r="M130" s="28" t="n">
        <x:v>-11.799999999999997</x:v>
      </x:c>
      <x:c r="N130" s="28"/>
      <x:c r="O130" s="26" t="str">
        <x:v>ADP_NOT_LOADED</x:v>
      </x:c>
      <x:c r="P130" s="26" t="str">
        <x:v>Projection-only v1.0</x:v>
      </x:c>
    </x:row>
    <x:row r="131">
      <x:c r="A131" s="26" t="str">
        <x:v>half_ppr</x:v>
      </x:c>
      <x:c r="B131" s="26" t="n">
        <x:v>127</x:v>
      </x:c>
      <x:c r="C131" s="26" t="n">
        <x:v>6</x:v>
      </x:c>
      <x:c r="D131" s="26" t="n">
        <x:v>57</x:v>
      </x:c>
      <x:c r="E131" s="26" t="n">
        <x:v>4</x:v>
      </x:c>
      <x:c r="F131" s="26" t="str">
        <x:v>Keenan Allen</x:v>
      </x:c>
      <x:c r="G131" s="26" t="str">
        <x:v>IND</x:v>
      </x:c>
      <x:c r="H131" s="26" t="str">
        <x:v>WR</x:v>
      </x:c>
      <x:c r="I131" s="28" t="n">
        <x:v>97.2</x:v>
      </x:c>
      <x:c r="J131" s="28" t="n">
        <x:v>110.6</x:v>
      </x:c>
      <x:c r="K131" s="28" t="n">
        <x:v>-13.399999999999991</x:v>
      </x:c>
      <x:c r="L131" s="28" t="n">
        <x:v>0</x:v>
      </x:c>
      <x:c r="M131" s="28" t="n">
        <x:v>-13.399999999999991</x:v>
      </x:c>
      <x:c r="N131" s="28"/>
      <x:c r="O131" s="26" t="str">
        <x:v>ADP_NOT_LOADED</x:v>
      </x:c>
      <x:c r="P131" s="26" t="str">
        <x:v>Projection-only v1.0</x:v>
      </x:c>
    </x:row>
    <x:row r="132">
      <x:c r="A132" s="26" t="str">
        <x:v>half_ppr</x:v>
      </x:c>
      <x:c r="B132" s="26" t="n">
        <x:v>128</x:v>
      </x:c>
      <x:c r="C132" s="26" t="n">
        <x:v>6</x:v>
      </x:c>
      <x:c r="D132" s="26" t="n">
        <x:v>58</x:v>
      </x:c>
      <x:c r="E132" s="26" t="n">
        <x:v>4</x:v>
      </x:c>
      <x:c r="F132" s="26" t="str">
        <x:v>KC Concepcion</x:v>
      </x:c>
      <x:c r="G132" s="26" t="str">
        <x:v>CLE</x:v>
      </x:c>
      <x:c r="H132" s="26" t="str">
        <x:v>WR</x:v>
      </x:c>
      <x:c r="I132" s="28" t="n">
        <x:v>97</x:v>
      </x:c>
      <x:c r="J132" s="28" t="n">
        <x:v>110.6</x:v>
      </x:c>
      <x:c r="K132" s="28" t="n">
        <x:v>-13.599999999999994</x:v>
      </x:c>
      <x:c r="L132" s="28" t="n">
        <x:v>0</x:v>
      </x:c>
      <x:c r="M132" s="28" t="n">
        <x:v>-13.599999999999994</x:v>
      </x:c>
      <x:c r="N132" s="28"/>
      <x:c r="O132" s="26" t="str">
        <x:v>ADP_NOT_LOADED</x:v>
      </x:c>
      <x:c r="P132" s="26" t="str">
        <x:v>Projection-only v1.0</x:v>
      </x:c>
    </x:row>
    <x:row r="133">
      <x:c r="A133" s="26" t="str">
        <x:v>half_ppr</x:v>
      </x:c>
      <x:c r="B133" s="26" t="n">
        <x:v>129</x:v>
      </x:c>
      <x:c r="C133" s="26" t="n">
        <x:v>6</x:v>
      </x:c>
      <x:c r="D133" s="26" t="n">
        <x:v>42</x:v>
      </x:c>
      <x:c r="E133" s="26" t="n">
        <x:v>4</x:v>
      </x:c>
      <x:c r="F133" s="26" t="str">
        <x:v>Tyrone Tracy Jr.</x:v>
      </x:c>
      <x:c r="G133" s="26" t="str">
        <x:v>NYG</x:v>
      </x:c>
      <x:c r="H133" s="26" t="str">
        <x:v>RB</x:v>
      </x:c>
      <x:c r="I133" s="28" t="n">
        <x:v>110.2</x:v>
      </x:c>
      <x:c r="J133" s="28" t="n">
        <x:v>124.5</x:v>
      </x:c>
      <x:c r="K133" s="28" t="n">
        <x:v>-14.299999999999997</x:v>
      </x:c>
      <x:c r="L133" s="28" t="n">
        <x:v>0</x:v>
      </x:c>
      <x:c r="M133" s="28" t="n">
        <x:v>-14.299999999999997</x:v>
      </x:c>
      <x:c r="N133" s="28"/>
      <x:c r="O133" s="26" t="str">
        <x:v>ADP_NOT_LOADED</x:v>
      </x:c>
      <x:c r="P133" s="26" t="str">
        <x:v>Projection-only v1.0</x:v>
      </x:c>
    </x:row>
    <x:row r="134">
      <x:c r="A134" s="26" t="str">
        <x:v>half_ppr</x:v>
      </x:c>
      <x:c r="B134" s="26" t="n">
        <x:v>130</x:v>
      </x:c>
      <x:c r="C134" s="26" t="n">
        <x:v>6</x:v>
      </x:c>
      <x:c r="D134" s="26" t="n">
        <x:v>44</x:v>
      </x:c>
      <x:c r="E134" s="26" t="n">
        <x:v>4</x:v>
      </x:c>
      <x:c r="F134" s="26" t="str">
        <x:v>Chris Rodriguez Jr.</x:v>
      </x:c>
      <x:c r="G134" s="26" t="str">
        <x:v>JAX</x:v>
      </x:c>
      <x:c r="H134" s="26" t="str">
        <x:v>RB</x:v>
      </x:c>
      <x:c r="I134" s="28" t="n">
        <x:v>109.6</x:v>
      </x:c>
      <x:c r="J134" s="28" t="n">
        <x:v>124.5</x:v>
      </x:c>
      <x:c r="K134" s="28" t="n">
        <x:v>-14.900000000000006</x:v>
      </x:c>
      <x:c r="L134" s="28" t="n">
        <x:v>0</x:v>
      </x:c>
      <x:c r="M134" s="28" t="n">
        <x:v>-14.900000000000006</x:v>
      </x:c>
      <x:c r="N134" s="28"/>
      <x:c r="O134" s="26" t="str">
        <x:v>ADP_NOT_LOADED</x:v>
      </x:c>
      <x:c r="P134" s="26" t="str">
        <x:v>Projection-only v1.0</x:v>
      </x:c>
    </x:row>
    <x:row r="135">
      <x:c r="A135" s="26" t="str">
        <x:v>half_ppr</x:v>
      </x:c>
      <x:c r="B135" s="26" t="n">
        <x:v>131</x:v>
      </x:c>
      <x:c r="C135" s="26" t="n">
        <x:v>7</x:v>
      </x:c>
      <x:c r="D135" s="26" t="n">
        <x:v>60</x:v>
      </x:c>
      <x:c r="E135" s="26" t="n">
        <x:v>4</x:v>
      </x:c>
      <x:c r="F135" s="26" t="str">
        <x:v>Jalen Nailor</x:v>
      </x:c>
      <x:c r="G135" s="26" t="str">
        <x:v>LV</x:v>
      </x:c>
      <x:c r="H135" s="26" t="str">
        <x:v>WR</x:v>
      </x:c>
      <x:c r="I135" s="28" t="n">
        <x:v>95.2</x:v>
      </x:c>
      <x:c r="J135" s="28" t="n">
        <x:v>110.6</x:v>
      </x:c>
      <x:c r="K135" s="28" t="n">
        <x:v>-15.399999999999991</x:v>
      </x:c>
      <x:c r="L135" s="28" t="n">
        <x:v>0</x:v>
      </x:c>
      <x:c r="M135" s="28" t="n">
        <x:v>-15.399999999999991</x:v>
      </x:c>
      <x:c r="N135" s="28"/>
      <x:c r="O135" s="26" t="str">
        <x:v>ADP_NOT_LOADED</x:v>
      </x:c>
      <x:c r="P135" s="26" t="str">
        <x:v>Projection-only v1.0</x:v>
      </x:c>
    </x:row>
    <x:row r="136">
      <x:c r="A136" s="26" t="str">
        <x:v>half_ppr</x:v>
      </x:c>
      <x:c r="B136" s="26" t="n">
        <x:v>132</x:v>
      </x:c>
      <x:c r="C136" s="26" t="n">
        <x:v>7</x:v>
      </x:c>
      <x:c r="D136" s="26" t="n">
        <x:v>16</x:v>
      </x:c>
      <x:c r="E136" s="26" t="n">
        <x:v>4</x:v>
      </x:c>
      <x:c r="F136" s="26" t="str">
        <x:v>Baker Mayfield</x:v>
      </x:c>
      <x:c r="G136" s="26" t="str">
        <x:v>TB</x:v>
      </x:c>
      <x:c r="H136" s="26" t="str">
        <x:v>QB</x:v>
      </x:c>
      <x:c r="I136" s="28" t="n">
        <x:v>275.2</x:v>
      </x:c>
      <x:c r="J136" s="28" t="n">
        <x:v>290.6</x:v>
      </x:c>
      <x:c r="K136" s="28" t="n">
        <x:v>-15.400000000000034</x:v>
      </x:c>
      <x:c r="L136" s="28" t="n">
        <x:v>0</x:v>
      </x:c>
      <x:c r="M136" s="28" t="n">
        <x:v>-15.400000000000034</x:v>
      </x:c>
      <x:c r="N136" s="28"/>
      <x:c r="O136" s="26" t="str">
        <x:v>ADP_NOT_LOADED</x:v>
      </x:c>
      <x:c r="P136" s="26" t="str">
        <x:v>Projection-only v1.0</x:v>
      </x:c>
    </x:row>
    <x:row r="137">
      <x:c r="A137" s="26" t="str">
        <x:v>half_ppr</x:v>
      </x:c>
      <x:c r="B137" s="26" t="n">
        <x:v>133</x:v>
      </x:c>
      <x:c r="C137" s="26" t="n">
        <x:v>7</x:v>
      </x:c>
      <x:c r="D137" s="26" t="n">
        <x:v>15</x:v>
      </x:c>
      <x:c r="E137" s="26" t="n">
        <x:v>4</x:v>
      </x:c>
      <x:c r="F137" s="26" t="str">
        <x:v>Brenton Strange</x:v>
      </x:c>
      <x:c r="G137" s="26" t="str">
        <x:v>JAX</x:v>
      </x:c>
      <x:c r="H137" s="26" t="str">
        <x:v>TE</x:v>
      </x:c>
      <x:c r="I137" s="28" t="n">
        <x:v>127.2</x:v>
      </x:c>
      <x:c r="J137" s="28" t="n">
        <x:v>143.3</x:v>
      </x:c>
      <x:c r="K137" s="28" t="n">
        <x:v>-16.10000000000001</x:v>
      </x:c>
      <x:c r="L137" s="28" t="n">
        <x:v>0</x:v>
      </x:c>
      <x:c r="M137" s="28" t="n">
        <x:v>-16.10000000000001</x:v>
      </x:c>
      <x:c r="N137" s="28"/>
      <x:c r="O137" s="26" t="str">
        <x:v>ADP_NOT_LOADED</x:v>
      </x:c>
      <x:c r="P137" s="26" t="str">
        <x:v>Projection-only v1.0</x:v>
      </x:c>
    </x:row>
    <x:row r="138">
      <x:c r="A138" s="26" t="str">
        <x:v>half_ppr</x:v>
      </x:c>
      <x:c r="B138" s="26" t="n">
        <x:v>134</x:v>
      </x:c>
      <x:c r="C138" s="26" t="n">
        <x:v>7</x:v>
      </x:c>
      <x:c r="D138" s="26" t="n">
        <x:v>17</x:v>
      </x:c>
      <x:c r="E138" s="26" t="n">
        <x:v>4</x:v>
      </x:c>
      <x:c r="F138" s="26" t="str">
        <x:v>Matthew Stafford</x:v>
      </x:c>
      <x:c r="G138" s="26" t="str">
        <x:v>LAR</x:v>
      </x:c>
      <x:c r="H138" s="26" t="str">
        <x:v>QB</x:v>
      </x:c>
      <x:c r="I138" s="28" t="n">
        <x:v>273.1</x:v>
      </x:c>
      <x:c r="J138" s="28" t="n">
        <x:v>290.6</x:v>
      </x:c>
      <x:c r="K138" s="28" t="n">
        <x:v>-17.5</x:v>
      </x:c>
      <x:c r="L138" s="28" t="n">
        <x:v>0</x:v>
      </x:c>
      <x:c r="M138" s="28" t="n">
        <x:v>-17.5</x:v>
      </x:c>
      <x:c r="N138" s="28"/>
      <x:c r="O138" s="26" t="str">
        <x:v>ADP_NOT_LOADED</x:v>
      </x:c>
      <x:c r="P138" s="26" t="str">
        <x:v>Projection-only v1.0</x:v>
      </x:c>
    </x:row>
    <x:row r="139">
      <x:c r="A139" s="26" t="str">
        <x:v>half_ppr</x:v>
      </x:c>
      <x:c r="B139" s="26" t="n">
        <x:v>135</x:v>
      </x:c>
      <x:c r="C139" s="26" t="n">
        <x:v>7</x:v>
      </x:c>
      <x:c r="D139" s="26" t="n">
        <x:v>16</x:v>
      </x:c>
      <x:c r="E139" s="26" t="n">
        <x:v>4</x:v>
      </x:c>
      <x:c r="F139" s="26" t="str">
        <x:v>Hunter Henry</x:v>
      </x:c>
      <x:c r="G139" s="26" t="str">
        <x:v>NE</x:v>
      </x:c>
      <x:c r="H139" s="26" t="str">
        <x:v>TE</x:v>
      </x:c>
      <x:c r="I139" s="28" t="n">
        <x:v>125.3</x:v>
      </x:c>
      <x:c r="J139" s="28" t="n">
        <x:v>143.3</x:v>
      </x:c>
      <x:c r="K139" s="28" t="n">
        <x:v>-18.000000000000014</x:v>
      </x:c>
      <x:c r="L139" s="28" t="n">
        <x:v>0</x:v>
      </x:c>
      <x:c r="M139" s="28" t="n">
        <x:v>-18.000000000000014</x:v>
      </x:c>
      <x:c r="N139" s="28"/>
      <x:c r="O139" s="26" t="str">
        <x:v>ADP_NOT_LOADED</x:v>
      </x:c>
      <x:c r="P139" s="26" t="str">
        <x:v>Projection-only v1.0</x:v>
      </x:c>
    </x:row>
    <x:row r="140">
      <x:c r="A140" s="26" t="str">
        <x:v>half_ppr</x:v>
      </x:c>
      <x:c r="B140" s="26" t="n">
        <x:v>136</x:v>
      </x:c>
      <x:c r="C140" s="26" t="n">
        <x:v>7</x:v>
      </x:c>
      <x:c r="D140" s="26" t="n">
        <x:v>41</x:v>
      </x:c>
      <x:c r="E140" s="26" t="n">
        <x:v>4</x:v>
      </x:c>
      <x:c r="F140" s="26" t="str">
        <x:v>Tyjae Spears</x:v>
      </x:c>
      <x:c r="G140" s="26" t="str">
        <x:v>TEN</x:v>
      </x:c>
      <x:c r="H140" s="26" t="str">
        <x:v>RB</x:v>
      </x:c>
      <x:c r="I140" s="28" t="n">
        <x:v>105.4</x:v>
      </x:c>
      <x:c r="J140" s="28" t="n">
        <x:v>124.5</x:v>
      </x:c>
      <x:c r="K140" s="28" t="n">
        <x:v>-19.099999999999994</x:v>
      </x:c>
      <x:c r="L140" s="28" t="n">
        <x:v>0</x:v>
      </x:c>
      <x:c r="M140" s="28" t="n">
        <x:v>-19.099999999999994</x:v>
      </x:c>
      <x:c r="N140" s="28"/>
      <x:c r="O140" s="26" t="str">
        <x:v>ADP_NOT_LOADED</x:v>
      </x:c>
      <x:c r="P140" s="26" t="str">
        <x:v>Projection-only v1.0</x:v>
      </x:c>
    </x:row>
    <x:row r="141">
      <x:c r="A141" s="26" t="str">
        <x:v>half_ppr</x:v>
      </x:c>
      <x:c r="B141" s="26" t="n">
        <x:v>137</x:v>
      </x:c>
      <x:c r="C141" s="26" t="n">
        <x:v>7</x:v>
      </x:c>
      <x:c r="D141" s="26" t="n">
        <x:v>43</x:v>
      </x:c>
      <x:c r="E141" s="26" t="n">
        <x:v>4</x:v>
      </x:c>
      <x:c r="F141" s="26" t="str">
        <x:v>Rachaad White</x:v>
      </x:c>
      <x:c r="G141" s="26" t="str">
        <x:v>WAS</x:v>
      </x:c>
      <x:c r="H141" s="26" t="str">
        <x:v>RB</x:v>
      </x:c>
      <x:c r="I141" s="28" t="n">
        <x:v>104.6</x:v>
      </x:c>
      <x:c r="J141" s="28" t="n">
        <x:v>124.5</x:v>
      </x:c>
      <x:c r="K141" s="28" t="n">
        <x:v>-19.900000000000006</x:v>
      </x:c>
      <x:c r="L141" s="28" t="n">
        <x:v>0</x:v>
      </x:c>
      <x:c r="M141" s="28" t="n">
        <x:v>-19.900000000000006</x:v>
      </x:c>
      <x:c r="N141" s="28"/>
      <x:c r="O141" s="26" t="str">
        <x:v>ADP_NOT_LOADED</x:v>
      </x:c>
      <x:c r="P141" s="26" t="str">
        <x:v>Projection-only v1.0</x:v>
      </x:c>
    </x:row>
    <x:row r="142">
      <x:c r="A142" s="26" t="str">
        <x:v>half_ppr</x:v>
      </x:c>
      <x:c r="B142" s="26" t="n">
        <x:v>138</x:v>
      </x:c>
      <x:c r="C142" s="26" t="n">
        <x:v>7</x:v>
      </x:c>
      <x:c r="D142" s="26" t="n">
        <x:v>46</x:v>
      </x:c>
      <x:c r="E142" s="26" t="n">
        <x:v>4</x:v>
      </x:c>
      <x:c r="F142" s="26" t="str">
        <x:v>Zach Charbonnet</x:v>
      </x:c>
      <x:c r="G142" s="26" t="str">
        <x:v>SEA</x:v>
      </x:c>
      <x:c r="H142" s="26" t="str">
        <x:v>RB</x:v>
      </x:c>
      <x:c r="I142" s="28" t="n">
        <x:v>104.3</x:v>
      </x:c>
      <x:c r="J142" s="28" t="n">
        <x:v>124.5</x:v>
      </x:c>
      <x:c r="K142" s="28" t="n">
        <x:v>-20.200000000000003</x:v>
      </x:c>
      <x:c r="L142" s="28" t="n">
        <x:v>0</x:v>
      </x:c>
      <x:c r="M142" s="28" t="n">
        <x:v>-20.200000000000003</x:v>
      </x:c>
      <x:c r="N142" s="28"/>
      <x:c r="O142" s="26" t="str">
        <x:v>ADP_NOT_LOADED</x:v>
      </x:c>
      <x:c r="P142" s="26" t="str">
        <x:v>Projection-only v1.0</x:v>
      </x:c>
    </x:row>
    <x:row r="143">
      <x:c r="A143" s="26" t="str">
        <x:v>half_ppr</x:v>
      </x:c>
      <x:c r="B143" s="26" t="n">
        <x:v>139</x:v>
      </x:c>
      <x:c r="C143" s="26" t="n">
        <x:v>7</x:v>
      </x:c>
      <x:c r="D143" s="26" t="n">
        <x:v>45</x:v>
      </x:c>
      <x:c r="E143" s="26" t="n">
        <x:v>4</x:v>
      </x:c>
      <x:c r="F143" s="26" t="str">
        <x:v>Mike Washington Jr.</x:v>
      </x:c>
      <x:c r="G143" s="26" t="str">
        <x:v>LV</x:v>
      </x:c>
      <x:c r="H143" s="26" t="str">
        <x:v>RB</x:v>
      </x:c>
      <x:c r="I143" s="28" t="n">
        <x:v>103.6</x:v>
      </x:c>
      <x:c r="J143" s="28" t="n">
        <x:v>124.5</x:v>
      </x:c>
      <x:c r="K143" s="28" t="n">
        <x:v>-20.900000000000006</x:v>
      </x:c>
      <x:c r="L143" s="28" t="n">
        <x:v>0</x:v>
      </x:c>
      <x:c r="M143" s="28" t="n">
        <x:v>-20.900000000000006</x:v>
      </x:c>
      <x:c r="N143" s="28"/>
      <x:c r="O143" s="26" t="str">
        <x:v>ADP_NOT_LOADED</x:v>
      </x:c>
      <x:c r="P143" s="26" t="str">
        <x:v>Projection-only v1.0</x:v>
      </x:c>
    </x:row>
    <x:row r="144">
      <x:c r="A144" s="26" t="str">
        <x:v>half_ppr</x:v>
      </x:c>
      <x:c r="B144" s="26" t="n">
        <x:v>140</x:v>
      </x:c>
      <x:c r="C144" s="26" t="n">
        <x:v>7</x:v>
      </x:c>
      <x:c r="D144" s="26" t="n">
        <x:v>61</x:v>
      </x:c>
      <x:c r="E144" s="26" t="n">
        <x:v>5</x:v>
      </x:c>
      <x:c r="F144" s="26" t="str">
        <x:v>Makai Lemon</x:v>
      </x:c>
      <x:c r="G144" s="26" t="str">
        <x:v>PHI</x:v>
      </x:c>
      <x:c r="H144" s="26" t="str">
        <x:v>WR</x:v>
      </x:c>
      <x:c r="I144" s="28" t="n">
        <x:v>89.3</x:v>
      </x:c>
      <x:c r="J144" s="28" t="n">
        <x:v>110.6</x:v>
      </x:c>
      <x:c r="K144" s="28" t="n">
        <x:v>-21.299999999999997</x:v>
      </x:c>
      <x:c r="L144" s="28" t="n">
        <x:v>0</x:v>
      </x:c>
      <x:c r="M144" s="28" t="n">
        <x:v>-21.299999999999997</x:v>
      </x:c>
      <x:c r="N144" s="28"/>
      <x:c r="O144" s="26" t="str">
        <x:v>ADP_NOT_LOADED</x:v>
      </x:c>
      <x:c r="P144" s="26" t="str">
        <x:v>Projection-only v1.0</x:v>
      </x:c>
    </x:row>
    <x:row r="145">
      <x:c r="A145" s="26" t="str">
        <x:v>half_ppr</x:v>
      </x:c>
      <x:c r="B145" s="26" t="n">
        <x:v>141</x:v>
      </x:c>
      <x:c r="C145" s="26" t="n">
        <x:v>7</x:v>
      </x:c>
      <x:c r="D145" s="26" t="n">
        <x:v>49</x:v>
      </x:c>
      <x:c r="E145" s="26" t="n">
        <x:v>4</x:v>
      </x:c>
      <x:c r="F145" s="26" t="str">
        <x:v>Emmett Johnson</x:v>
      </x:c>
      <x:c r="G145" s="26" t="str">
        <x:v>KC</x:v>
      </x:c>
      <x:c r="H145" s="26" t="str">
        <x:v>RB</x:v>
      </x:c>
      <x:c r="I145" s="28" t="n">
        <x:v>103</x:v>
      </x:c>
      <x:c r="J145" s="28" t="n">
        <x:v>124.5</x:v>
      </x:c>
      <x:c r="K145" s="28" t="n">
        <x:v>-21.5</x:v>
      </x:c>
      <x:c r="L145" s="28" t="n">
        <x:v>0</x:v>
      </x:c>
      <x:c r="M145" s="28" t="n">
        <x:v>-21.5</x:v>
      </x:c>
      <x:c r="N145" s="28"/>
      <x:c r="O145" s="26" t="str">
        <x:v>ADP_NOT_LOADED</x:v>
      </x:c>
      <x:c r="P145" s="26" t="str">
        <x:v>Projection-only v1.0</x:v>
      </x:c>
    </x:row>
    <x:row r="146">
      <x:c r="A146" s="26" t="str">
        <x:v>half_ppr</x:v>
      </x:c>
      <x:c r="B146" s="26" t="n">
        <x:v>142</x:v>
      </x:c>
      <x:c r="C146" s="26" t="n">
        <x:v>7</x:v>
      </x:c>
      <x:c r="D146" s="26" t="n">
        <x:v>18</x:v>
      </x:c>
      <x:c r="E146" s="26" t="n">
        <x:v>4</x:v>
      </x:c>
      <x:c r="F146" s="26" t="str">
        <x:v>Tyler Shough</x:v>
      </x:c>
      <x:c r="G146" s="26" t="str">
        <x:v>NO</x:v>
      </x:c>
      <x:c r="H146" s="26" t="str">
        <x:v>QB</x:v>
      </x:c>
      <x:c r="I146" s="28" t="n">
        <x:v>268.9</x:v>
      </x:c>
      <x:c r="J146" s="28" t="n">
        <x:v>290.6</x:v>
      </x:c>
      <x:c r="K146" s="28" t="n">
        <x:v>-21.700000000000045</x:v>
      </x:c>
      <x:c r="L146" s="28" t="n">
        <x:v>0</x:v>
      </x:c>
      <x:c r="M146" s="28" t="n">
        <x:v>-21.700000000000045</x:v>
      </x:c>
      <x:c r="N146" s="28"/>
      <x:c r="O146" s="26" t="str">
        <x:v>ADP_NOT_LOADED</x:v>
      </x:c>
      <x:c r="P146" s="26" t="str">
        <x:v>Projection-only v1.0</x:v>
      </x:c>
    </x:row>
    <x:row r="147">
      <x:c r="A147" s="26" t="str">
        <x:v>half_ppr</x:v>
      </x:c>
      <x:c r="B147" s="26" t="n">
        <x:v>143</x:v>
      </x:c>
      <x:c r="C147" s="26" t="n">
        <x:v>7</x:v>
      </x:c>
      <x:c r="D147" s="26" t="n">
        <x:v>19</x:v>
      </x:c>
      <x:c r="E147" s="26" t="n">
        <x:v>4</x:v>
      </x:c>
      <x:c r="F147" s="26" t="str">
        <x:v>Jordan Love</x:v>
      </x:c>
      <x:c r="G147" s="26" t="str">
        <x:v>GB</x:v>
      </x:c>
      <x:c r="H147" s="26" t="str">
        <x:v>QB</x:v>
      </x:c>
      <x:c r="I147" s="28" t="n">
        <x:v>268.8</x:v>
      </x:c>
      <x:c r="J147" s="28" t="n">
        <x:v>290.6</x:v>
      </x:c>
      <x:c r="K147" s="28" t="n">
        <x:v>-21.80000000000001</x:v>
      </x:c>
      <x:c r="L147" s="28" t="n">
        <x:v>0</x:v>
      </x:c>
      <x:c r="M147" s="28" t="n">
        <x:v>-21.80000000000001</x:v>
      </x:c>
      <x:c r="N147" s="28"/>
      <x:c r="O147" s="26" t="str">
        <x:v>ADP_NOT_LOADED</x:v>
      </x:c>
      <x:c r="P147" s="26" t="str">
        <x:v>Projection-only v1.0</x:v>
      </x:c>
    </x:row>
    <x:row r="148">
      <x:c r="A148" s="26" t="str">
        <x:v>half_ppr</x:v>
      </x:c>
      <x:c r="B148" s="26" t="n">
        <x:v>144</x:v>
      </x:c>
      <x:c r="C148" s="26" t="n">
        <x:v>7</x:v>
      </x:c>
      <x:c r="D148" s="26" t="n">
        <x:v>50</x:v>
      </x:c>
      <x:c r="E148" s="26" t="n">
        <x:v>4</x:v>
      </x:c>
      <x:c r="F148" s="26" t="str">
        <x:v>Isiah Pacheco</x:v>
      </x:c>
      <x:c r="G148" s="26" t="str">
        <x:v>DET</x:v>
      </x:c>
      <x:c r="H148" s="26" t="str">
        <x:v>RB</x:v>
      </x:c>
      <x:c r="I148" s="28" t="n">
        <x:v>100.5</x:v>
      </x:c>
      <x:c r="J148" s="28" t="n">
        <x:v>124.5</x:v>
      </x:c>
      <x:c r="K148" s="28" t="n">
        <x:v>-24</x:v>
      </x:c>
      <x:c r="L148" s="28" t="n">
        <x:v>0</x:v>
      </x:c>
      <x:c r="M148" s="28" t="n">
        <x:v>-24</x:v>
      </x:c>
      <x:c r="N148" s="28"/>
      <x:c r="O148" s="26" t="str">
        <x:v>ADP_NOT_LOADED</x:v>
      </x:c>
      <x:c r="P148" s="26" t="str">
        <x:v>Projection-only v1.0</x:v>
      </x:c>
    </x:row>
    <x:row r="149">
      <x:c r="A149" s="26" t="str">
        <x:v>half_ppr</x:v>
      </x:c>
      <x:c r="B149" s="26" t="n">
        <x:v>145</x:v>
      </x:c>
      <x:c r="C149" s="26" t="n">
        <x:v>7</x:v>
      </x:c>
      <x:c r="D149" s="26" t="n">
        <x:v>65</x:v>
      </x:c>
      <x:c r="E149" s="26" t="n">
        <x:v>5</x:v>
      </x:c>
      <x:c r="F149" s="26" t="str">
        <x:v>Deebo Samuel Sr.</x:v>
      </x:c>
      <x:c r="G149" s="26" t="str">
        <x:v>SF</x:v>
      </x:c>
      <x:c r="H149" s="26" t="str">
        <x:v>WR</x:v>
      </x:c>
      <x:c r="I149" s="28" t="n">
        <x:v>85.4</x:v>
      </x:c>
      <x:c r="J149" s="28" t="n">
        <x:v>110.6</x:v>
      </x:c>
      <x:c r="K149" s="28" t="n">
        <x:v>-25.19999999999999</x:v>
      </x:c>
      <x:c r="L149" s="28" t="n">
        <x:v>0</x:v>
      </x:c>
      <x:c r="M149" s="28" t="n">
        <x:v>-25.19999999999999</x:v>
      </x:c>
      <x:c r="N149" s="28"/>
      <x:c r="O149" s="26" t="str">
        <x:v>ADP_NOT_LOADED</x:v>
      </x:c>
      <x:c r="P149" s="26" t="str">
        <x:v>Projection-only v1.0</x:v>
      </x:c>
    </x:row>
    <x:row r="150">
      <x:c r="A150" s="26" t="str">
        <x:v>half_ppr</x:v>
      </x:c>
      <x:c r="B150" s="26" t="n">
        <x:v>146</x:v>
      </x:c>
      <x:c r="C150" s="26" t="n">
        <x:v>7</x:v>
      </x:c>
      <x:c r="D150" s="26" t="n">
        <x:v>48</x:v>
      </x:c>
      <x:c r="E150" s="26" t="n">
        <x:v>4</x:v>
      </x:c>
      <x:c r="F150" s="26" t="str">
        <x:v>Woody Marks</x:v>
      </x:c>
      <x:c r="G150" s="26" t="str">
        <x:v>HOU</x:v>
      </x:c>
      <x:c r="H150" s="26" t="str">
        <x:v>RB</x:v>
      </x:c>
      <x:c r="I150" s="28" t="n">
        <x:v>98.4</x:v>
      </x:c>
      <x:c r="J150" s="28" t="n">
        <x:v>124.5</x:v>
      </x:c>
      <x:c r="K150" s="28" t="n">
        <x:v>-26.099999999999994</x:v>
      </x:c>
      <x:c r="L150" s="28" t="n">
        <x:v>0</x:v>
      </x:c>
      <x:c r="M150" s="28" t="n">
        <x:v>-26.099999999999994</x:v>
      </x:c>
      <x:c r="N150" s="28"/>
      <x:c r="O150" s="26" t="str">
        <x:v>ADP_NOT_LOADED</x:v>
      </x:c>
      <x:c r="P150" s="26" t="str">
        <x:v>Projection-only v1.0</x:v>
      </x:c>
    </x:row>
    <x:row r="151">
      <x:c r="A151" s="26" t="str">
        <x:v>half_ppr</x:v>
      </x:c>
      <x:c r="B151" s="26" t="n">
        <x:v>147</x:v>
      </x:c>
      <x:c r="C151" s="26" t="n">
        <x:v>7</x:v>
      </x:c>
      <x:c r="D151" s="26" t="n">
        <x:v>64</x:v>
      </x:c>
      <x:c r="E151" s="26" t="n">
        <x:v>5</x:v>
      </x:c>
      <x:c r="F151" s="26" t="str">
        <x:v>Jayden Higgins</x:v>
      </x:c>
      <x:c r="G151" s="26" t="str">
        <x:v>HOU</x:v>
      </x:c>
      <x:c r="H151" s="26" t="str">
        <x:v>WR</x:v>
      </x:c>
      <x:c r="I151" s="28" t="n">
        <x:v>83.9</x:v>
      </x:c>
      <x:c r="J151" s="28" t="n">
        <x:v>110.6</x:v>
      </x:c>
      <x:c r="K151" s="28" t="n">
        <x:v>-26.69999999999999</x:v>
      </x:c>
      <x:c r="L151" s="28" t="n">
        <x:v>0</x:v>
      </x:c>
      <x:c r="M151" s="28" t="n">
        <x:v>-26.69999999999999</x:v>
      </x:c>
      <x:c r="N151" s="28"/>
      <x:c r="O151" s="26" t="str">
        <x:v>ADP_NOT_LOADED</x:v>
      </x:c>
      <x:c r="P151" s="26" t="str">
        <x:v>Projection-only v1.0</x:v>
      </x:c>
    </x:row>
    <x:row r="152">
      <x:c r="A152" s="26" t="str">
        <x:v>half_ppr</x:v>
      </x:c>
      <x:c r="B152" s="26" t="n">
        <x:v>148</x:v>
      </x:c>
      <x:c r="C152" s="26" t="n">
        <x:v>7</x:v>
      </x:c>
      <x:c r="D152" s="26" t="n">
        <x:v>20</x:v>
      </x:c>
      <x:c r="E152" s="26" t="n">
        <x:v>4</x:v>
      </x:c>
      <x:c r="F152" s="26" t="str">
        <x:v>Kyler Murray</x:v>
      </x:c>
      <x:c r="G152" s="26" t="str">
        <x:v>MIN</x:v>
      </x:c>
      <x:c r="H152" s="26" t="str">
        <x:v>QB</x:v>
      </x:c>
      <x:c r="I152" s="28" t="n">
        <x:v>263.7</x:v>
      </x:c>
      <x:c r="J152" s="28" t="n">
        <x:v>290.6</x:v>
      </x:c>
      <x:c r="K152" s="28" t="n">
        <x:v>-26.900000000000034</x:v>
      </x:c>
      <x:c r="L152" s="28" t="n">
        <x:v>0</x:v>
      </x:c>
      <x:c r="M152" s="28" t="n">
        <x:v>-26.900000000000034</x:v>
      </x:c>
      <x:c r="N152" s="28"/>
      <x:c r="O152" s="26" t="str">
        <x:v>ADP_NOT_LOADED</x:v>
      </x:c>
      <x:c r="P152" s="26" t="str">
        <x:v>Projection-only v1.0</x:v>
      </x:c>
    </x:row>
    <x:row r="153">
      <x:c r="A153" s="26" t="str">
        <x:v>half_ppr</x:v>
      </x:c>
      <x:c r="B153" s="26" t="n">
        <x:v>149</x:v>
      </x:c>
      <x:c r="C153" s="26" t="n">
        <x:v>7</x:v>
      </x:c>
      <x:c r="D153" s="26" t="n">
        <x:v>47</x:v>
      </x:c>
      <x:c r="E153" s="26" t="n">
        <x:v>4</x:v>
      </x:c>
      <x:c r="F153" s="26" t="str">
        <x:v>Alvin Kamara</x:v>
      </x:c>
      <x:c r="G153" s="26" t="str">
        <x:v>NO</x:v>
      </x:c>
      <x:c r="H153" s="26" t="str">
        <x:v>RB</x:v>
      </x:c>
      <x:c r="I153" s="28" t="n">
        <x:v>96.2</x:v>
      </x:c>
      <x:c r="J153" s="28" t="n">
        <x:v>124.5</x:v>
      </x:c>
      <x:c r="K153" s="28" t="n">
        <x:v>-28.299999999999997</x:v>
      </x:c>
      <x:c r="L153" s="28" t="n">
        <x:v>0</x:v>
      </x:c>
      <x:c r="M153" s="28" t="n">
        <x:v>-28.299999999999997</x:v>
      </x:c>
      <x:c r="N153" s="28"/>
      <x:c r="O153" s="26" t="str">
        <x:v>ADP_NOT_LOADED</x:v>
      </x:c>
      <x:c r="P153" s="26" t="str">
        <x:v>Projection-only v1.0</x:v>
      </x:c>
    </x:row>
    <x:row r="154">
      <x:c r="A154" s="26" t="str">
        <x:v>half_ppr</x:v>
      </x:c>
      <x:c r="B154" s="26" t="n">
        <x:v>150</x:v>
      </x:c>
      <x:c r="C154" s="26" t="n">
        <x:v>7</x:v>
      </x:c>
      <x:c r="D154" s="26" t="n">
        <x:v>67</x:v>
      </x:c>
      <x:c r="E154" s="26" t="n">
        <x:v>5</x:v>
      </x:c>
      <x:c r="F154" s="26" t="str">
        <x:v>Romeo Doubs</x:v>
      </x:c>
      <x:c r="G154" s="26" t="str">
        <x:v>NE</x:v>
      </x:c>
      <x:c r="H154" s="26" t="str">
        <x:v>WR</x:v>
      </x:c>
      <x:c r="I154" s="28" t="n">
        <x:v>82.2</x:v>
      </x:c>
      <x:c r="J154" s="28" t="n">
        <x:v>110.6</x:v>
      </x:c>
      <x:c r="K154" s="28" t="n">
        <x:v>-28.39999999999999</x:v>
      </x:c>
      <x:c r="L154" s="28" t="n">
        <x:v>0</x:v>
      </x:c>
      <x:c r="M154" s="28" t="n">
        <x:v>-28.39999999999999</x:v>
      </x:c>
      <x:c r="N154" s="28"/>
      <x:c r="O154" s="26" t="str">
        <x:v>ADP_NOT_LOADED</x:v>
      </x:c>
      <x:c r="P154" s="26" t="str">
        <x:v>Projection-only v1.0</x:v>
      </x:c>
    </x:row>
    <x:row r="155">
      <x:c r="A155" s="26" t="str">
        <x:v>half_ppr</x:v>
      </x:c>
      <x:c r="B155" s="26" t="n">
        <x:v>151</x:v>
      </x:c>
      <x:c r="C155" s="26" t="n">
        <x:v>7</x:v>
      </x:c>
      <x:c r="D155" s="26" t="n">
        <x:v>63</x:v>
      </x:c>
      <x:c r="E155" s="26" t="n">
        <x:v>5</x:v>
      </x:c>
      <x:c r="F155" s="26" t="str">
        <x:v>Zachariah Branch</x:v>
      </x:c>
      <x:c r="G155" s="26" t="str">
        <x:v>ATL</x:v>
      </x:c>
      <x:c r="H155" s="26" t="str">
        <x:v>WR</x:v>
      </x:c>
      <x:c r="I155" s="28" t="n">
        <x:v>82</x:v>
      </x:c>
      <x:c r="J155" s="28" t="n">
        <x:v>110.6</x:v>
      </x:c>
      <x:c r="K155" s="28" t="n">
        <x:v>-28.599999999999994</x:v>
      </x:c>
      <x:c r="L155" s="28" t="n">
        <x:v>0</x:v>
      </x:c>
      <x:c r="M155" s="28" t="n">
        <x:v>-28.599999999999994</x:v>
      </x:c>
      <x:c r="N155" s="28"/>
      <x:c r="O155" s="26" t="str">
        <x:v>ADP_NOT_LOADED</x:v>
      </x:c>
      <x:c r="P155" s="26" t="str">
        <x:v>Projection-only v1.0</x:v>
      </x:c>
    </x:row>
    <x:row r="156">
      <x:c r="A156" s="26" t="str">
        <x:v>half_ppr</x:v>
      </x:c>
      <x:c r="B156" s="26" t="n">
        <x:v>152</x:v>
      </x:c>
      <x:c r="C156" s="26" t="n">
        <x:v>7</x:v>
      </x:c>
      <x:c r="D156" s="26" t="n">
        <x:v>62</x:v>
      </x:c>
      <x:c r="E156" s="26" t="n">
        <x:v>5</x:v>
      </x:c>
      <x:c r="F156" s="26" t="str">
        <x:v>John Metchie III</x:v>
      </x:c>
      <x:c r="G156" s="26" t="str">
        <x:v>CAR</x:v>
      </x:c>
      <x:c r="H156" s="26" t="str">
        <x:v>WR</x:v>
      </x:c>
      <x:c r="I156" s="28" t="n">
        <x:v>81.6</x:v>
      </x:c>
      <x:c r="J156" s="28" t="n">
        <x:v>110.6</x:v>
      </x:c>
      <x:c r="K156" s="28" t="n">
        <x:v>-29</x:v>
      </x:c>
      <x:c r="L156" s="28" t="n">
        <x:v>0</x:v>
      </x:c>
      <x:c r="M156" s="28" t="n">
        <x:v>-29</x:v>
      </x:c>
      <x:c r="N156" s="28"/>
      <x:c r="O156" s="26" t="str">
        <x:v>ADP_NOT_LOADED</x:v>
      </x:c>
      <x:c r="P156" s="26" t="str">
        <x:v>Projection-only v1.0</x:v>
      </x:c>
    </x:row>
    <x:row r="157">
      <x:c r="A157" s="26" t="str">
        <x:v>half_ppr</x:v>
      </x:c>
      <x:c r="B157" s="26" t="n">
        <x:v>153</x:v>
      </x:c>
      <x:c r="C157" s="26" t="n">
        <x:v>7</x:v>
      </x:c>
      <x:c r="D157" s="26" t="n">
        <x:v>18</x:v>
      </x:c>
      <x:c r="E157" s="26" t="n">
        <x:v>4</x:v>
      </x:c>
      <x:c r="F157" s="26" t="str">
        <x:v>George Kittle</x:v>
      </x:c>
      <x:c r="G157" s="26" t="str">
        <x:v>SF</x:v>
      </x:c>
      <x:c r="H157" s="26" t="str">
        <x:v>TE</x:v>
      </x:c>
      <x:c r="I157" s="28" t="n">
        <x:v>113.6</x:v>
      </x:c>
      <x:c r="J157" s="28" t="n">
        <x:v>143.3</x:v>
      </x:c>
      <x:c r="K157" s="28" t="n">
        <x:v>-29.700000000000017</x:v>
      </x:c>
      <x:c r="L157" s="28" t="n">
        <x:v>0</x:v>
      </x:c>
      <x:c r="M157" s="28" t="n">
        <x:v>-29.700000000000017</x:v>
      </x:c>
      <x:c r="N157" s="28"/>
      <x:c r="O157" s="26" t="str">
        <x:v>ADP_NOT_LOADED</x:v>
      </x:c>
      <x:c r="P157" s="26" t="str">
        <x:v>Projection-only v1.0</x:v>
      </x:c>
    </x:row>
    <x:row r="158">
      <x:c r="A158" s="26" t="str">
        <x:v>half_ppr</x:v>
      </x:c>
      <x:c r="B158" s="26" t="n">
        <x:v>154</x:v>
      </x:c>
      <x:c r="C158" s="26" t="n">
        <x:v>7</x:v>
      </x:c>
      <x:c r="D158" s="26" t="n">
        <x:v>68</x:v>
      </x:c>
      <x:c r="E158" s="26" t="n">
        <x:v>5</x:v>
      </x:c>
      <x:c r="F158" s="26" t="str">
        <x:v>Tank Dell</x:v>
      </x:c>
      <x:c r="G158" s="26" t="str">
        <x:v>HOU</x:v>
      </x:c>
      <x:c r="H158" s="26" t="str">
        <x:v>WR</x:v>
      </x:c>
      <x:c r="I158" s="28" t="n">
        <x:v>80.8</x:v>
      </x:c>
      <x:c r="J158" s="28" t="n">
        <x:v>110.6</x:v>
      </x:c>
      <x:c r="K158" s="28" t="n">
        <x:v>-29.799999999999997</x:v>
      </x:c>
      <x:c r="L158" s="28" t="n">
        <x:v>0</x:v>
      </x:c>
      <x:c r="M158" s="28" t="n">
        <x:v>-29.799999999999997</x:v>
      </x:c>
      <x:c r="N158" s="28"/>
      <x:c r="O158" s="26" t="str">
        <x:v>ADP_NOT_LOADED</x:v>
      </x:c>
      <x:c r="P158" s="26" t="str">
        <x:v>Projection-only v1.0</x:v>
      </x:c>
    </x:row>
    <x:row r="159">
      <x:c r="A159" s="26" t="str">
        <x:v>half_ppr</x:v>
      </x:c>
      <x:c r="B159" s="26" t="n">
        <x:v>155</x:v>
      </x:c>
      <x:c r="C159" s="26" t="n">
        <x:v>7</x:v>
      </x:c>
      <x:c r="D159" s="26" t="n">
        <x:v>52</x:v>
      </x:c>
      <x:c r="E159" s="26" t="n">
        <x:v>4</x:v>
      </x:c>
      <x:c r="F159" s="26" t="str">
        <x:v>Tyler Allgeier</x:v>
      </x:c>
      <x:c r="G159" s="26" t="str">
        <x:v>ARI</x:v>
      </x:c>
      <x:c r="H159" s="26" t="str">
        <x:v>RB</x:v>
      </x:c>
      <x:c r="I159" s="28" t="n">
        <x:v>94.5</x:v>
      </x:c>
      <x:c r="J159" s="28" t="n">
        <x:v>124.5</x:v>
      </x:c>
      <x:c r="K159" s="28" t="n">
        <x:v>-30</x:v>
      </x:c>
      <x:c r="L159" s="28" t="n">
        <x:v>0</x:v>
      </x:c>
      <x:c r="M159" s="28" t="n">
        <x:v>-30</x:v>
      </x:c>
      <x:c r="N159" s="28"/>
      <x:c r="O159" s="26" t="str">
        <x:v>ADP_NOT_LOADED</x:v>
      </x:c>
      <x:c r="P159" s="26" t="str">
        <x:v>Projection-only v1.0</x:v>
      </x:c>
    </x:row>
    <x:row r="160">
      <x:c r="A160" s="26" t="str">
        <x:v>half_ppr</x:v>
      </x:c>
      <x:c r="B160" s="26" t="n">
        <x:v>156</x:v>
      </x:c>
      <x:c r="C160" s="26" t="n">
        <x:v>7</x:v>
      </x:c>
      <x:c r="D160" s="26" t="n">
        <x:v>66</x:v>
      </x:c>
      <x:c r="E160" s="26" t="n">
        <x:v>5</x:v>
      </x:c>
      <x:c r="F160" s="26" t="str">
        <x:v>Jalen Coker</x:v>
      </x:c>
      <x:c r="G160" s="26" t="str">
        <x:v>CAR</x:v>
      </x:c>
      <x:c r="H160" s="26" t="str">
        <x:v>WR</x:v>
      </x:c>
      <x:c r="I160" s="28" t="n">
        <x:v>80.6</x:v>
      </x:c>
      <x:c r="J160" s="28" t="n">
        <x:v>110.6</x:v>
      </x:c>
      <x:c r="K160" s="28" t="n">
        <x:v>-30</x:v>
      </x:c>
      <x:c r="L160" s="28" t="n">
        <x:v>0</x:v>
      </x:c>
      <x:c r="M160" s="28" t="n">
        <x:v>-30</x:v>
      </x:c>
      <x:c r="N160" s="28"/>
      <x:c r="O160" s="26" t="str">
        <x:v>ADP_NOT_LOADED</x:v>
      </x:c>
      <x:c r="P160" s="26" t="str">
        <x:v>Projection-only v1.0</x:v>
      </x:c>
    </x:row>
    <x:row r="161">
      <x:c r="A161" s="26" t="str">
        <x:v>half_ppr</x:v>
      </x:c>
      <x:c r="B161" s="26" t="n">
        <x:v>157</x:v>
      </x:c>
      <x:c r="C161" s="26" t="n">
        <x:v>7</x:v>
      </x:c>
      <x:c r="D161" s="26" t="n">
        <x:v>51</x:v>
      </x:c>
      <x:c r="E161" s="26" t="n">
        <x:v>4</x:v>
      </x:c>
      <x:c r="F161" s="26" t="str">
        <x:v>Nicholas Singleton</x:v>
      </x:c>
      <x:c r="G161" s="26" t="str">
        <x:v>TEN</x:v>
      </x:c>
      <x:c r="H161" s="26" t="str">
        <x:v>RB</x:v>
      </x:c>
      <x:c r="I161" s="28" t="n">
        <x:v>93.7</x:v>
      </x:c>
      <x:c r="J161" s="28" t="n">
        <x:v>124.5</x:v>
      </x:c>
      <x:c r="K161" s="28" t="n">
        <x:v>-30.799999999999997</x:v>
      </x:c>
      <x:c r="L161" s="28" t="n">
        <x:v>0</x:v>
      </x:c>
      <x:c r="M161" s="28" t="n">
        <x:v>-30.799999999999997</x:v>
      </x:c>
      <x:c r="N161" s="28"/>
      <x:c r="O161" s="26" t="str">
        <x:v>ADP_NOT_LOADED</x:v>
      </x:c>
      <x:c r="P161" s="26" t="str">
        <x:v>Projection-only v1.0</x:v>
      </x:c>
    </x:row>
    <x:row r="162">
      <x:c r="A162" s="26" t="str">
        <x:v>half_ppr</x:v>
      </x:c>
      <x:c r="B162" s="26" t="n">
        <x:v>158</x:v>
      </x:c>
      <x:c r="C162" s="26" t="n">
        <x:v>7</x:v>
      </x:c>
      <x:c r="D162" s="26" t="n">
        <x:v>70</x:v>
      </x:c>
      <x:c r="E162" s="26" t="n">
        <x:v>5</x:v>
      </x:c>
      <x:c r="F162" s="26" t="str">
        <x:v>Jalen McMillan</x:v>
      </x:c>
      <x:c r="G162" s="26" t="str">
        <x:v>TB</x:v>
      </x:c>
      <x:c r="H162" s="26" t="str">
        <x:v>WR</x:v>
      </x:c>
      <x:c r="I162" s="28" t="n">
        <x:v>79.5</x:v>
      </x:c>
      <x:c r="J162" s="28" t="n">
        <x:v>110.6</x:v>
      </x:c>
      <x:c r="K162" s="28" t="n">
        <x:v>-31.099999999999994</x:v>
      </x:c>
      <x:c r="L162" s="28" t="n">
        <x:v>0</x:v>
      </x:c>
      <x:c r="M162" s="28" t="n">
        <x:v>-31.099999999999994</x:v>
      </x:c>
      <x:c r="N162" s="28"/>
      <x:c r="O162" s="26" t="str">
        <x:v>ADP_NOT_LOADED</x:v>
      </x:c>
      <x:c r="P162" s="26" t="str">
        <x:v>Projection-only v1.0</x:v>
      </x:c>
    </x:row>
    <x:row r="163">
      <x:c r="A163" s="26" t="str">
        <x:v>half_ppr</x:v>
      </x:c>
      <x:c r="B163" s="26" t="n">
        <x:v>159</x:v>
      </x:c>
      <x:c r="C163" s="26" t="n">
        <x:v>7</x:v>
      </x:c>
      <x:c r="D163" s="26" t="n">
        <x:v>21</x:v>
      </x:c>
      <x:c r="E163" s="26" t="n">
        <x:v>4</x:v>
      </x:c>
      <x:c r="F163" s="26" t="str">
        <x:v>Malik Willis</x:v>
      </x:c>
      <x:c r="G163" s="26" t="str">
        <x:v>MIA</x:v>
      </x:c>
      <x:c r="H163" s="26" t="str">
        <x:v>QB</x:v>
      </x:c>
      <x:c r="I163" s="28" t="n">
        <x:v>259.4</x:v>
      </x:c>
      <x:c r="J163" s="28" t="n">
        <x:v>290.6</x:v>
      </x:c>
      <x:c r="K163" s="28" t="n">
        <x:v>-31.200000000000045</x:v>
      </x:c>
      <x:c r="L163" s="28" t="n">
        <x:v>0</x:v>
      </x:c>
      <x:c r="M163" s="28" t="n">
        <x:v>-31.200000000000045</x:v>
      </x:c>
      <x:c r="N163" s="28"/>
      <x:c r="O163" s="26" t="str">
        <x:v>ADP_NOT_LOADED</x:v>
      </x:c>
      <x:c r="P163" s="26" t="str">
        <x:v>Projection-only v1.0</x:v>
      </x:c>
    </x:row>
    <x:row r="164">
      <x:c r="A164" s="26" t="str">
        <x:v>half_ppr</x:v>
      </x:c>
      <x:c r="B164" s="26" t="n">
        <x:v>160</x:v>
      </x:c>
      <x:c r="C164" s="26" t="n">
        <x:v>7</x:v>
      </x:c>
      <x:c r="D164" s="26" t="n">
        <x:v>19</x:v>
      </x:c>
      <x:c r="E164" s="26" t="n">
        <x:v>4</x:v>
      </x:c>
      <x:c r="F164" s="26" t="str">
        <x:v>AJ Barner</x:v>
      </x:c>
      <x:c r="G164" s="26" t="str">
        <x:v>SEA</x:v>
      </x:c>
      <x:c r="H164" s="26" t="str">
        <x:v>TE</x:v>
      </x:c>
      <x:c r="I164" s="28" t="n">
        <x:v>110.8</x:v>
      </x:c>
      <x:c r="J164" s="28" t="n">
        <x:v>143.3</x:v>
      </x:c>
      <x:c r="K164" s="28" t="n">
        <x:v>-32.500000000000014</x:v>
      </x:c>
      <x:c r="L164" s="28" t="n">
        <x:v>0</x:v>
      </x:c>
      <x:c r="M164" s="28" t="n">
        <x:v>-32.500000000000014</x:v>
      </x:c>
      <x:c r="N164" s="28"/>
      <x:c r="O164" s="26" t="str">
        <x:v>ADP_NOT_LOADED</x:v>
      </x:c>
      <x:c r="P164" s="26" t="str">
        <x:v>Projection-only v1.0</x:v>
      </x:c>
    </x:row>
    <x:row r="165">
      <x:c r="A165" s="26" t="str">
        <x:v>half_ppr</x:v>
      </x:c>
      <x:c r="B165" s="26" t="n">
        <x:v>161</x:v>
      </x:c>
      <x:c r="C165" s="26" t="n">
        <x:v>7</x:v>
      </x:c>
      <x:c r="D165" s="26" t="n">
        <x:v>17</x:v>
      </x:c>
      <x:c r="E165" s="26" t="n">
        <x:v>4</x:v>
      </x:c>
      <x:c r="F165" s="26" t="str">
        <x:v>Dalton Schultz</x:v>
      </x:c>
      <x:c r="G165" s="26" t="str">
        <x:v>HOU</x:v>
      </x:c>
      <x:c r="H165" s="26" t="str">
        <x:v>TE</x:v>
      </x:c>
      <x:c r="I165" s="28" t="n">
        <x:v>109.8</x:v>
      </x:c>
      <x:c r="J165" s="28" t="n">
        <x:v>143.3</x:v>
      </x:c>
      <x:c r="K165" s="28" t="n">
        <x:v>-33.500000000000014</x:v>
      </x:c>
      <x:c r="L165" s="28" t="n">
        <x:v>0</x:v>
      </x:c>
      <x:c r="M165" s="28" t="n">
        <x:v>-33.500000000000014</x:v>
      </x:c>
      <x:c r="N165" s="28"/>
      <x:c r="O165" s="26" t="str">
        <x:v>ADP_NOT_LOADED</x:v>
      </x:c>
      <x:c r="P165" s="26" t="str">
        <x:v>Projection-only v1.0</x:v>
      </x:c>
    </x:row>
    <x:row r="166">
      <x:c r="A166" s="26" t="str">
        <x:v>half_ppr</x:v>
      </x:c>
      <x:c r="B166" s="26" t="n">
        <x:v>162</x:v>
      </x:c>
      <x:c r="C166" s="26" t="n">
        <x:v>7</x:v>
      </x:c>
      <x:c r="D166" s="26" t="n">
        <x:v>72</x:v>
      </x:c>
      <x:c r="E166" s="26" t="n">
        <x:v>5</x:v>
      </x:c>
      <x:c r="F166" s="26" t="str">
        <x:v>Rashod Bateman</x:v>
      </x:c>
      <x:c r="G166" s="26" t="str">
        <x:v>BAL</x:v>
      </x:c>
      <x:c r="H166" s="26" t="str">
        <x:v>WR</x:v>
      </x:c>
      <x:c r="I166" s="28" t="n">
        <x:v>76.6</x:v>
      </x:c>
      <x:c r="J166" s="28" t="n">
        <x:v>110.6</x:v>
      </x:c>
      <x:c r="K166" s="28" t="n">
        <x:v>-34</x:v>
      </x:c>
      <x:c r="L166" s="28" t="n">
        <x:v>0</x:v>
      </x:c>
      <x:c r="M166" s="28" t="n">
        <x:v>-34</x:v>
      </x:c>
      <x:c r="N166" s="28"/>
      <x:c r="O166" s="26" t="str">
        <x:v>ADP_NOT_LOADED</x:v>
      </x:c>
      <x:c r="P166" s="26" t="str">
        <x:v>Projection-only v1.0</x:v>
      </x:c>
    </x:row>
    <x:row r="167">
      <x:c r="A167" s="26" t="str">
        <x:v>half_ppr</x:v>
      </x:c>
      <x:c r="B167" s="26" t="n">
        <x:v>163</x:v>
      </x:c>
      <x:c r="C167" s="26" t="n">
        <x:v>7</x:v>
      </x:c>
      <x:c r="D167" s="26" t="n">
        <x:v>69</x:v>
      </x:c>
      <x:c r="E167" s="26" t="n">
        <x:v>5</x:v>
      </x:c>
      <x:c r="F167" s="26" t="str">
        <x:v>Omar Cooper Jr.</x:v>
      </x:c>
      <x:c r="G167" s="26" t="str">
        <x:v>NYJ</x:v>
      </x:c>
      <x:c r="H167" s="26" t="str">
        <x:v>WR</x:v>
      </x:c>
      <x:c r="I167" s="28" t="n">
        <x:v>75.8</x:v>
      </x:c>
      <x:c r="J167" s="28" t="n">
        <x:v>110.6</x:v>
      </x:c>
      <x:c r="K167" s="28" t="n">
        <x:v>-34.8</x:v>
      </x:c>
      <x:c r="L167" s="28" t="n">
        <x:v>0</x:v>
      </x:c>
      <x:c r="M167" s="28" t="n">
        <x:v>-34.8</x:v>
      </x:c>
      <x:c r="N167" s="28"/>
      <x:c r="O167" s="26" t="str">
        <x:v>ADP_NOT_LOADED</x:v>
      </x:c>
      <x:c r="P167" s="26" t="str">
        <x:v>Projection-only v1.0</x:v>
      </x:c>
    </x:row>
    <x:row r="168">
      <x:c r="A168" s="26" t="str">
        <x:v>half_ppr</x:v>
      </x:c>
      <x:c r="B168" s="26" t="n">
        <x:v>164</x:v>
      </x:c>
      <x:c r="C168" s="26" t="n">
        <x:v>7</x:v>
      </x:c>
      <x:c r="D168" s="26" t="n">
        <x:v>71</x:v>
      </x:c>
      <x:c r="E168" s="26" t="n">
        <x:v>5</x:v>
      </x:c>
      <x:c r="F168" s="26" t="str">
        <x:v>Andrei Iosivas</x:v>
      </x:c>
      <x:c r="G168" s="26" t="str">
        <x:v>CIN</x:v>
      </x:c>
      <x:c r="H168" s="26" t="str">
        <x:v>WR</x:v>
      </x:c>
      <x:c r="I168" s="28" t="n">
        <x:v>74.9</x:v>
      </x:c>
      <x:c r="J168" s="28" t="n">
        <x:v>110.6</x:v>
      </x:c>
      <x:c r="K168" s="28" t="n">
        <x:v>-35.69999999999999</x:v>
      </x:c>
      <x:c r="L168" s="28" t="n">
        <x:v>0</x:v>
      </x:c>
      <x:c r="M168" s="28" t="n">
        <x:v>-35.69999999999999</x:v>
      </x:c>
      <x:c r="N168" s="28"/>
      <x:c r="O168" s="26" t="str">
        <x:v>ADP_NOT_LOADED</x:v>
      </x:c>
      <x:c r="P168" s="26" t="str">
        <x:v>Projection-only v1.0</x:v>
      </x:c>
    </x:row>
    <x:row r="169">
      <x:c r="A169" s="26" t="str">
        <x:v>half_ppr</x:v>
      </x:c>
      <x:c r="B169" s="26" t="n">
        <x:v>165</x:v>
      </x:c>
      <x:c r="C169" s="26" t="n">
        <x:v>7</x:v>
      </x:c>
      <x:c r="D169" s="26" t="n">
        <x:v>22</x:v>
      </x:c>
      <x:c r="E169" s="26" t="n">
        <x:v>4</x:v>
      </x:c>
      <x:c r="F169" s="26" t="str">
        <x:v>C.J. Stroud</x:v>
      </x:c>
      <x:c r="G169" s="26" t="str">
        <x:v>HOU</x:v>
      </x:c>
      <x:c r="H169" s="26" t="str">
        <x:v>QB</x:v>
      </x:c>
      <x:c r="I169" s="28" t="n">
        <x:v>253.9</x:v>
      </x:c>
      <x:c r="J169" s="28" t="n">
        <x:v>290.6</x:v>
      </x:c>
      <x:c r="K169" s="28" t="n">
        <x:v>-36.70000000000002</x:v>
      </x:c>
      <x:c r="L169" s="28" t="n">
        <x:v>0</x:v>
      </x:c>
      <x:c r="M169" s="28" t="n">
        <x:v>-36.70000000000002</x:v>
      </x:c>
      <x:c r="N169" s="28"/>
      <x:c r="O169" s="26" t="str">
        <x:v>ADP_NOT_LOADED</x:v>
      </x:c>
      <x:c r="P169" s="26" t="str">
        <x:v>Projection-only v1.0</x:v>
      </x:c>
    </x:row>
    <x:row r="170">
      <x:c r="A170" s="26" t="str">
        <x:v>half_ppr</x:v>
      </x:c>
      <x:c r="B170" s="26" t="n">
        <x:v>166</x:v>
      </x:c>
      <x:c r="C170" s="26" t="n">
        <x:v>8</x:v>
      </x:c>
      <x:c r="D170" s="26" t="n">
        <x:v>20</x:v>
      </x:c>
      <x:c r="E170" s="26" t="n">
        <x:v>4</x:v>
      </x:c>
      <x:c r="F170" s="26" t="str">
        <x:v>Juwan Johnson</x:v>
      </x:c>
      <x:c r="G170" s="26" t="str">
        <x:v>NO</x:v>
      </x:c>
      <x:c r="H170" s="26" t="str">
        <x:v>TE</x:v>
      </x:c>
      <x:c r="I170" s="28" t="n">
        <x:v>106.3</x:v>
      </x:c>
      <x:c r="J170" s="28" t="n">
        <x:v>143.3</x:v>
      </x:c>
      <x:c r="K170" s="28" t="n">
        <x:v>-37.000000000000014</x:v>
      </x:c>
      <x:c r="L170" s="28" t="n">
        <x:v>0</x:v>
      </x:c>
      <x:c r="M170" s="28" t="n">
        <x:v>-37.000000000000014</x:v>
      </x:c>
      <x:c r="N170" s="28"/>
      <x:c r="O170" s="26" t="str">
        <x:v>ADP_NOT_LOADED</x:v>
      </x:c>
      <x:c r="P170" s="26" t="str">
        <x:v>Projection-only v1.0</x:v>
      </x:c>
    </x:row>
    <x:row r="171">
      <x:c r="A171" s="26" t="str">
        <x:v>half_ppr</x:v>
      </x:c>
      <x:c r="B171" s="26" t="n">
        <x:v>167</x:v>
      </x:c>
      <x:c r="C171" s="26" t="n">
        <x:v>8</x:v>
      </x:c>
      <x:c r="D171" s="26" t="n">
        <x:v>74</x:v>
      </x:c>
      <x:c r="E171" s="26" t="n">
        <x:v>5</x:v>
      </x:c>
      <x:c r="F171" s="26" t="str">
        <x:v>Ted Hurst</x:v>
      </x:c>
      <x:c r="G171" s="26" t="str">
        <x:v>TB</x:v>
      </x:c>
      <x:c r="H171" s="26" t="str">
        <x:v>WR</x:v>
      </x:c>
      <x:c r="I171" s="28" t="n">
        <x:v>73.2</x:v>
      </x:c>
      <x:c r="J171" s="28" t="n">
        <x:v>110.6</x:v>
      </x:c>
      <x:c r="K171" s="28" t="n">
        <x:v>-37.39999999999999</x:v>
      </x:c>
      <x:c r="L171" s="28" t="n">
        <x:v>0</x:v>
      </x:c>
      <x:c r="M171" s="28" t="n">
        <x:v>-37.39999999999999</x:v>
      </x:c>
      <x:c r="N171" s="28"/>
      <x:c r="O171" s="26" t="str">
        <x:v>ADP_NOT_LOADED</x:v>
      </x:c>
      <x:c r="P171" s="26" t="str">
        <x:v>Projection-only v1.0</x:v>
      </x:c>
    </x:row>
    <x:row r="172">
      <x:c r="A172" s="26" t="str">
        <x:v>half_ppr</x:v>
      </x:c>
      <x:c r="B172" s="26" t="n">
        <x:v>168</x:v>
      </x:c>
      <x:c r="C172" s="26" t="n">
        <x:v>8</x:v>
      </x:c>
      <x:c r="D172" s="26" t="n">
        <x:v>54</x:v>
      </x:c>
      <x:c r="E172" s="26" t="n">
        <x:v>4</x:v>
      </x:c>
      <x:c r="F172" s="26" t="str">
        <x:v>Brian Robinson Jr.</x:v>
      </x:c>
      <x:c r="G172" s="26" t="str">
        <x:v>ATL</x:v>
      </x:c>
      <x:c r="H172" s="26" t="str">
        <x:v>RB</x:v>
      </x:c>
      <x:c r="I172" s="28" t="n">
        <x:v>86.8</x:v>
      </x:c>
      <x:c r="J172" s="28" t="n">
        <x:v>124.5</x:v>
      </x:c>
      <x:c r="K172" s="28" t="n">
        <x:v>-37.7</x:v>
      </x:c>
      <x:c r="L172" s="28" t="n">
        <x:v>0</x:v>
      </x:c>
      <x:c r="M172" s="28" t="n">
        <x:v>-37.7</x:v>
      </x:c>
      <x:c r="N172" s="28"/>
      <x:c r="O172" s="26" t="str">
        <x:v>ADP_NOT_LOADED</x:v>
      </x:c>
      <x:c r="P172" s="26" t="str">
        <x:v>Projection-only v1.0</x:v>
      </x:c>
    </x:row>
    <x:row r="173">
      <x:c r="A173" s="26" t="str">
        <x:v>half_ppr</x:v>
      </x:c>
      <x:c r="B173" s="26" t="n">
        <x:v>169</x:v>
      </x:c>
      <x:c r="C173" s="26" t="n">
        <x:v>8</x:v>
      </x:c>
      <x:c r="D173" s="26" t="n">
        <x:v>75</x:v>
      </x:c>
      <x:c r="E173" s="26" t="n">
        <x:v>5</x:v>
      </x:c>
      <x:c r="F173" s="26" t="str">
        <x:v>Theo Wease Jr.</x:v>
      </x:c>
      <x:c r="G173" s="26" t="str">
        <x:v>MIA</x:v>
      </x:c>
      <x:c r="H173" s="26" t="str">
        <x:v>WR</x:v>
      </x:c>
      <x:c r="I173" s="28" t="n">
        <x:v>72.8</x:v>
      </x:c>
      <x:c r="J173" s="28" t="n">
        <x:v>110.6</x:v>
      </x:c>
      <x:c r="K173" s="28" t="n">
        <x:v>-37.8</x:v>
      </x:c>
      <x:c r="L173" s="28" t="n">
        <x:v>0</x:v>
      </x:c>
      <x:c r="M173" s="28" t="n">
        <x:v>-37.8</x:v>
      </x:c>
      <x:c r="N173" s="28"/>
      <x:c r="O173" s="26" t="str">
        <x:v>ADP_NOT_LOADED</x:v>
      </x:c>
      <x:c r="P173" s="26" t="str">
        <x:v>Projection-only v1.0</x:v>
      </x:c>
    </x:row>
    <x:row r="174">
      <x:c r="A174" s="26" t="str">
        <x:v>half_ppr</x:v>
      </x:c>
      <x:c r="B174" s="26" t="n">
        <x:v>170</x:v>
      </x:c>
      <x:c r="C174" s="26" t="n">
        <x:v>8</x:v>
      </x:c>
      <x:c r="D174" s="26" t="n">
        <x:v>53</x:v>
      </x:c>
      <x:c r="E174" s="26" t="n">
        <x:v>4</x:v>
      </x:c>
      <x:c r="F174" s="26" t="str">
        <x:v>Kaytron Allen</x:v>
      </x:c>
      <x:c r="G174" s="26" t="str">
        <x:v>WAS</x:v>
      </x:c>
      <x:c r="H174" s="26" t="str">
        <x:v>RB</x:v>
      </x:c>
      <x:c r="I174" s="28" t="n">
        <x:v>86.4</x:v>
      </x:c>
      <x:c r="J174" s="28" t="n">
        <x:v>124.5</x:v>
      </x:c>
      <x:c r="K174" s="28" t="n">
        <x:v>-38.099999999999994</x:v>
      </x:c>
      <x:c r="L174" s="28" t="n">
        <x:v>0</x:v>
      </x:c>
      <x:c r="M174" s="28" t="n">
        <x:v>-38.099999999999994</x:v>
      </x:c>
      <x:c r="N174" s="28"/>
      <x:c r="O174" s="26" t="str">
        <x:v>ADP_NOT_LOADED</x:v>
      </x:c>
      <x:c r="P174" s="26" t="str">
        <x:v>Projection-only v1.0</x:v>
      </x:c>
    </x:row>
    <x:row r="175">
      <x:c r="A175" s="26" t="str">
        <x:v>half_ppr</x:v>
      </x:c>
      <x:c r="B175" s="26" t="n">
        <x:v>171</x:v>
      </x:c>
      <x:c r="C175" s="26" t="n">
        <x:v>8</x:v>
      </x:c>
      <x:c r="D175" s="26" t="n">
        <x:v>73</x:v>
      </x:c>
      <x:c r="E175" s="26" t="n">
        <x:v>5</x:v>
      </x:c>
      <x:c r="F175" s="26" t="str">
        <x:v>Malik Washington</x:v>
      </x:c>
      <x:c r="G175" s="26" t="str">
        <x:v>MIA</x:v>
      </x:c>
      <x:c r="H175" s="26" t="str">
        <x:v>WR</x:v>
      </x:c>
      <x:c r="I175" s="28" t="n">
        <x:v>72</x:v>
      </x:c>
      <x:c r="J175" s="28" t="n">
        <x:v>110.6</x:v>
      </x:c>
      <x:c r="K175" s="28" t="n">
        <x:v>-38.599999999999994</x:v>
      </x:c>
      <x:c r="L175" s="28" t="n">
        <x:v>0</x:v>
      </x:c>
      <x:c r="M175" s="28" t="n">
        <x:v>-38.599999999999994</x:v>
      </x:c>
      <x:c r="N175" s="28"/>
      <x:c r="O175" s="26" t="str">
        <x:v>ADP_NOT_LOADED</x:v>
      </x:c>
      <x:c r="P175" s="26" t="str">
        <x:v>Projection-only v1.0</x:v>
      </x:c>
    </x:row>
    <x:row r="176">
      <x:c r="A176" s="26" t="str">
        <x:v>half_ppr</x:v>
      </x:c>
      <x:c r="B176" s="26" t="n">
        <x:v>172</x:v>
      </x:c>
      <x:c r="C176" s="26" t="n">
        <x:v>8</x:v>
      </x:c>
      <x:c r="D176" s="26" t="n">
        <x:v>23</x:v>
      </x:c>
      <x:c r="E176" s="26" t="n">
        <x:v>4</x:v>
      </x:c>
      <x:c r="F176" s="26" t="str">
        <x:v>Daniel Jones</x:v>
      </x:c>
      <x:c r="G176" s="26" t="str">
        <x:v>IND</x:v>
      </x:c>
      <x:c r="H176" s="26" t="str">
        <x:v>QB</x:v>
      </x:c>
      <x:c r="I176" s="28" t="n">
        <x:v>250.5</x:v>
      </x:c>
      <x:c r="J176" s="28" t="n">
        <x:v>290.6</x:v>
      </x:c>
      <x:c r="K176" s="28" t="n">
        <x:v>-40.10000000000002</x:v>
      </x:c>
      <x:c r="L176" s="28" t="n">
        <x:v>0</x:v>
      </x:c>
      <x:c r="M176" s="28" t="n">
        <x:v>-40.10000000000002</x:v>
      </x:c>
      <x:c r="N176" s="28"/>
      <x:c r="O176" s="26" t="str">
        <x:v>ADP_NOT_LOADED</x:v>
      </x:c>
      <x:c r="P176" s="26" t="str">
        <x:v>Projection-only v1.0</x:v>
      </x:c>
    </x:row>
    <x:row r="177">
      <x:c r="A177" s="26" t="str">
        <x:v>half_ppr</x:v>
      </x:c>
      <x:c r="B177" s="26" t="n">
        <x:v>173</x:v>
      </x:c>
      <x:c r="C177" s="26" t="n">
        <x:v>8</x:v>
      </x:c>
      <x:c r="D177" s="26" t="n">
        <x:v>21</x:v>
      </x:c>
      <x:c r="E177" s="26" t="n">
        <x:v>4</x:v>
      </x:c>
      <x:c r="F177" s="26" t="str">
        <x:v>Cade Otton</x:v>
      </x:c>
      <x:c r="G177" s="26" t="str">
        <x:v>TB</x:v>
      </x:c>
      <x:c r="H177" s="26" t="str">
        <x:v>TE</x:v>
      </x:c>
      <x:c r="I177" s="28" t="n">
        <x:v>102.9</x:v>
      </x:c>
      <x:c r="J177" s="28" t="n">
        <x:v>143.3</x:v>
      </x:c>
      <x:c r="K177" s="28" t="n">
        <x:v>-40.400000000000006</x:v>
      </x:c>
      <x:c r="L177" s="28" t="n">
        <x:v>0</x:v>
      </x:c>
      <x:c r="M177" s="28" t="n">
        <x:v>-40.400000000000006</x:v>
      </x:c>
      <x:c r="N177" s="28"/>
      <x:c r="O177" s="26" t="str">
        <x:v>ADP_NOT_LOADED</x:v>
      </x:c>
      <x:c r="P177" s="26" t="str">
        <x:v>Projection-only v1.0</x:v>
      </x:c>
    </x:row>
    <x:row r="178">
      <x:c r="A178" s="26" t="str">
        <x:v>half_ppr</x:v>
      </x:c>
      <x:c r="B178" s="26" t="n">
        <x:v>174</x:v>
      </x:c>
      <x:c r="C178" s="26" t="n">
        <x:v>8</x:v>
      </x:c>
      <x:c r="D178" s="26" t="n">
        <x:v>77</x:v>
      </x:c>
      <x:c r="E178" s="26" t="n">
        <x:v>5</x:v>
      </x:c>
      <x:c r="F178" s="26" t="str">
        <x:v>Christian Kirk</x:v>
      </x:c>
      <x:c r="G178" s="26" t="str">
        <x:v>SF</x:v>
      </x:c>
      <x:c r="H178" s="26" t="str">
        <x:v>WR</x:v>
      </x:c>
      <x:c r="I178" s="28" t="n">
        <x:v>68.2</x:v>
      </x:c>
      <x:c r="J178" s="28" t="n">
        <x:v>110.6</x:v>
      </x:c>
      <x:c r="K178" s="28" t="n">
        <x:v>-42.39999999999999</x:v>
      </x:c>
      <x:c r="L178" s="28" t="n">
        <x:v>0</x:v>
      </x:c>
      <x:c r="M178" s="28" t="n">
        <x:v>-42.39999999999999</x:v>
      </x:c>
      <x:c r="N178" s="28"/>
      <x:c r="O178" s="26" t="str">
        <x:v>ADP_NOT_LOADED</x:v>
      </x:c>
      <x:c r="P178" s="26" t="str">
        <x:v>Projection-only v1.0</x:v>
      </x:c>
    </x:row>
    <x:row r="179">
      <x:c r="A179" s="26" t="str">
        <x:v>half_ppr</x:v>
      </x:c>
      <x:c r="B179" s="26" t="n">
        <x:v>175</x:v>
      </x:c>
      <x:c r="C179" s="26" t="n">
        <x:v>8</x:v>
      </x:c>
      <x:c r="D179" s="26" t="n">
        <x:v>76</x:v>
      </x:c>
      <x:c r="E179" s="26" t="n">
        <x:v>5</x:v>
      </x:c>
      <x:c r="F179" s="26" t="str">
        <x:v>Germie Bernard</x:v>
      </x:c>
      <x:c r="G179" s="26" t="str">
        <x:v>PIT</x:v>
      </x:c>
      <x:c r="H179" s="26" t="str">
        <x:v>WR</x:v>
      </x:c>
      <x:c r="I179" s="28" t="n">
        <x:v>68</x:v>
      </x:c>
      <x:c r="J179" s="28" t="n">
        <x:v>110.6</x:v>
      </x:c>
      <x:c r="K179" s="28" t="n">
        <x:v>-42.599999999999994</x:v>
      </x:c>
      <x:c r="L179" s="28" t="n">
        <x:v>0</x:v>
      </x:c>
      <x:c r="M179" s="28" t="n">
        <x:v>-42.599999999999994</x:v>
      </x:c>
      <x:c r="N179" s="28"/>
      <x:c r="O179" s="26" t="str">
        <x:v>ADP_NOT_LOADED</x:v>
      </x:c>
      <x:c r="P179" s="26" t="str">
        <x:v>Projection-only v1.0</x:v>
      </x:c>
    </x:row>
    <x:row r="180">
      <x:c r="A180" s="26" t="str">
        <x:v>half_ppr</x:v>
      </x:c>
      <x:c r="B180" s="26" t="n">
        <x:v>176</x:v>
      </x:c>
      <x:c r="C180" s="26" t="n">
        <x:v>8</x:v>
      </x:c>
      <x:c r="D180" s="26" t="n">
        <x:v>56</x:v>
      </x:c>
      <x:c r="E180" s="26" t="n">
        <x:v>4</x:v>
      </x:c>
      <x:c r="F180" s="26" t="str">
        <x:v>Jaylen Wright</x:v>
      </x:c>
      <x:c r="G180" s="26" t="str">
        <x:v>MIA</x:v>
      </x:c>
      <x:c r="H180" s="26" t="str">
        <x:v>RB</x:v>
      </x:c>
      <x:c r="I180" s="28" t="n">
        <x:v>81.8</x:v>
      </x:c>
      <x:c r="J180" s="28" t="n">
        <x:v>124.5</x:v>
      </x:c>
      <x:c r="K180" s="28" t="n">
        <x:v>-42.7</x:v>
      </x:c>
      <x:c r="L180" s="28" t="n">
        <x:v>0</x:v>
      </x:c>
      <x:c r="M180" s="28" t="n">
        <x:v>-42.7</x:v>
      </x:c>
      <x:c r="N180" s="28"/>
      <x:c r="O180" s="26" t="str">
        <x:v>ADP_NOT_LOADED</x:v>
      </x:c>
      <x:c r="P180" s="26" t="str">
        <x:v>Projection-only v1.0</x:v>
      </x:c>
    </x:row>
    <x:row r="181">
      <x:c r="A181" s="26" t="str">
        <x:v>half_ppr</x:v>
      </x:c>
      <x:c r="B181" s="26" t="n">
        <x:v>177</x:v>
      </x:c>
      <x:c r="C181" s="26" t="n">
        <x:v>8</x:v>
      </x:c>
      <x:c r="D181" s="26" t="n">
        <x:v>22</x:v>
      </x:c>
      <x:c r="E181" s="26" t="n">
        <x:v>4</x:v>
      </x:c>
      <x:c r="F181" s="26" t="str">
        <x:v>T.J. Hockenson</x:v>
      </x:c>
      <x:c r="G181" s="26" t="str">
        <x:v>MIN</x:v>
      </x:c>
      <x:c r="H181" s="26" t="str">
        <x:v>TE</x:v>
      </x:c>
      <x:c r="I181" s="28" t="n">
        <x:v>99.9</x:v>
      </x:c>
      <x:c r="J181" s="28" t="n">
        <x:v>143.3</x:v>
      </x:c>
      <x:c r="K181" s="28" t="n">
        <x:v>-43.400000000000006</x:v>
      </x:c>
      <x:c r="L181" s="28" t="n">
        <x:v>0</x:v>
      </x:c>
      <x:c r="M181" s="28" t="n">
        <x:v>-43.400000000000006</x:v>
      </x:c>
      <x:c r="N181" s="28"/>
      <x:c r="O181" s="26" t="str">
        <x:v>ADP_NOT_LOADED</x:v>
      </x:c>
      <x:c r="P181" s="26" t="str">
        <x:v>Projection-only v1.0</x:v>
      </x:c>
    </x:row>
    <x:row r="182">
      <x:c r="A182" s="26" t="str">
        <x:v>half_ppr</x:v>
      </x:c>
      <x:c r="B182" s="26" t="n">
        <x:v>178</x:v>
      </x:c>
      <x:c r="C182" s="26" t="n">
        <x:v>8</x:v>
      </x:c>
      <x:c r="D182" s="26" t="n">
        <x:v>23</x:v>
      </x:c>
      <x:c r="E182" s="26" t="n">
        <x:v>4</x:v>
      </x:c>
      <x:c r="F182" s="26" t="str">
        <x:v>Pat Freiermuth</x:v>
      </x:c>
      <x:c r="G182" s="26" t="str">
        <x:v>PIT</x:v>
      </x:c>
      <x:c r="H182" s="26" t="str">
        <x:v>TE</x:v>
      </x:c>
      <x:c r="I182" s="28" t="n">
        <x:v>99.5</x:v>
      </x:c>
      <x:c r="J182" s="28" t="n">
        <x:v>143.3</x:v>
      </x:c>
      <x:c r="K182" s="28" t="n">
        <x:v>-43.80000000000001</x:v>
      </x:c>
      <x:c r="L182" s="28" t="n">
        <x:v>0</x:v>
      </x:c>
      <x:c r="M182" s="28" t="n">
        <x:v>-43.80000000000001</x:v>
      </x:c>
      <x:c r="N182" s="28"/>
      <x:c r="O182" s="26" t="str">
        <x:v>ADP_NOT_LOADED</x:v>
      </x:c>
      <x:c r="P182" s="26" t="str">
        <x:v>Projection-only v1.0</x:v>
      </x:c>
    </x:row>
    <x:row r="183">
      <x:c r="A183" s="26" t="str">
        <x:v>half_ppr</x:v>
      </x:c>
      <x:c r="B183" s="26" t="n">
        <x:v>179</x:v>
      </x:c>
      <x:c r="C183" s="26" t="n">
        <x:v>8</x:v>
      </x:c>
      <x:c r="D183" s="26" t="n">
        <x:v>55</x:v>
      </x:c>
      <x:c r="E183" s="26" t="n">
        <x:v>4</x:v>
      </x:c>
      <x:c r="F183" s="26" t="str">
        <x:v>MarShawn Lloyd</x:v>
      </x:c>
      <x:c r="G183" s="26" t="str">
        <x:v>GB</x:v>
      </x:c>
      <x:c r="H183" s="26" t="str">
        <x:v>RB</x:v>
      </x:c>
      <x:c r="I183" s="28" t="n">
        <x:v>80.5</x:v>
      </x:c>
      <x:c r="J183" s="28" t="n">
        <x:v>124.5</x:v>
      </x:c>
      <x:c r="K183" s="28" t="n">
        <x:v>-44</x:v>
      </x:c>
      <x:c r="L183" s="28" t="n">
        <x:v>0</x:v>
      </x:c>
      <x:c r="M183" s="28" t="n">
        <x:v>-44</x:v>
      </x:c>
      <x:c r="N183" s="28"/>
      <x:c r="O183" s="26" t="str">
        <x:v>ADP_NOT_LOADED</x:v>
      </x:c>
      <x:c r="P183" s="26" t="str">
        <x:v>Projection-only v1.0</x:v>
      </x:c>
    </x:row>
    <x:row r="184">
      <x:c r="A184" s="26" t="str">
        <x:v>half_ppr</x:v>
      </x:c>
      <x:c r="B184" s="26" t="n">
        <x:v>180</x:v>
      </x:c>
      <x:c r="C184" s="26" t="n">
        <x:v>8</x:v>
      </x:c>
      <x:c r="D184" s="26" t="n">
        <x:v>24</x:v>
      </x:c>
      <x:c r="E184" s="26" t="n">
        <x:v>4</x:v>
      </x:c>
      <x:c r="F184" s="26" t="str">
        <x:v>Oronde Gadsden</x:v>
      </x:c>
      <x:c r="G184" s="26" t="str">
        <x:v>LAC</x:v>
      </x:c>
      <x:c r="H184" s="26" t="str">
        <x:v>TE</x:v>
      </x:c>
      <x:c r="I184" s="28" t="n">
        <x:v>99.3</x:v>
      </x:c>
      <x:c r="J184" s="28" t="n">
        <x:v>143.3</x:v>
      </x:c>
      <x:c r="K184" s="28" t="n">
        <x:v>-44.000000000000014</x:v>
      </x:c>
      <x:c r="L184" s="28" t="n">
        <x:v>0</x:v>
      </x:c>
      <x:c r="M184" s="28" t="n">
        <x:v>-44.000000000000014</x:v>
      </x:c>
      <x:c r="N184" s="28"/>
      <x:c r="O184" s="26" t="str">
        <x:v>ADP_NOT_LOADED</x:v>
      </x:c>
      <x:c r="P184" s="26" t="str">
        <x:v>Projection-only v1.0</x:v>
      </x:c>
    </x:row>
    <x:row r="185">
      <x:c r="A185" s="26" t="str">
        <x:v>half_ppr</x:v>
      </x:c>
      <x:c r="B185" s="26" t="n">
        <x:v>181</x:v>
      </x:c>
      <x:c r="C185" s="26" t="n">
        <x:v>8</x:v>
      </x:c>
      <x:c r="D185" s="26" t="n">
        <x:v>78</x:v>
      </x:c>
      <x:c r="E185" s="26" t="n">
        <x:v>5</x:v>
      </x:c>
      <x:c r="F185" s="26" t="str">
        <x:v>De'Zhaun Stribling</x:v>
      </x:c>
      <x:c r="G185" s="26" t="str">
        <x:v>SF</x:v>
      </x:c>
      <x:c r="H185" s="26" t="str">
        <x:v>WR</x:v>
      </x:c>
      <x:c r="I185" s="28" t="n">
        <x:v>66.2</x:v>
      </x:c>
      <x:c r="J185" s="28" t="n">
        <x:v>110.6</x:v>
      </x:c>
      <x:c r="K185" s="28" t="n">
        <x:v>-44.39999999999999</x:v>
      </x:c>
      <x:c r="L185" s="28" t="n">
        <x:v>0</x:v>
      </x:c>
      <x:c r="M185" s="28" t="n">
        <x:v>-44.39999999999999</x:v>
      </x:c>
      <x:c r="N185" s="28"/>
      <x:c r="O185" s="26" t="str">
        <x:v>ADP_NOT_LOADED</x:v>
      </x:c>
      <x:c r="P185" s="26" t="str">
        <x:v>Projection-only v1.0</x:v>
      </x:c>
    </x:row>
    <x:row r="186">
      <x:c r="A186" s="26" t="str">
        <x:v>half_ppr</x:v>
      </x:c>
      <x:c r="B186" s="26" t="n">
        <x:v>182</x:v>
      </x:c>
      <x:c r="C186" s="26" t="n">
        <x:v>8</x:v>
      </x:c>
      <x:c r="D186" s="26" t="n">
        <x:v>81</x:v>
      </x:c>
      <x:c r="E186" s="26" t="n">
        <x:v>5</x:v>
      </x:c>
      <x:c r="F186" s="26" t="str">
        <x:v>Isaac TeSlaa</x:v>
      </x:c>
      <x:c r="G186" s="26" t="str">
        <x:v>DET</x:v>
      </x:c>
      <x:c r="H186" s="26" t="str">
        <x:v>WR</x:v>
      </x:c>
      <x:c r="I186" s="28" t="n">
        <x:v>66.1</x:v>
      </x:c>
      <x:c r="J186" s="28" t="n">
        <x:v>110.6</x:v>
      </x:c>
      <x:c r="K186" s="28" t="n">
        <x:v>-44.5</x:v>
      </x:c>
      <x:c r="L186" s="28" t="n">
        <x:v>0</x:v>
      </x:c>
      <x:c r="M186" s="28" t="n">
        <x:v>-44.5</x:v>
      </x:c>
      <x:c r="N186" s="28"/>
      <x:c r="O186" s="26" t="str">
        <x:v>ADP_NOT_LOADED</x:v>
      </x:c>
      <x:c r="P186" s="26" t="str">
        <x:v>Projection-only v1.0</x:v>
      </x:c>
    </x:row>
    <x:row r="187">
      <x:c r="A187" s="26" t="str">
        <x:v>half_ppr</x:v>
      </x:c>
      <x:c r="B187" s="26" t="n">
        <x:v>183</x:v>
      </x:c>
      <x:c r="C187" s="26" t="n">
        <x:v>8</x:v>
      </x:c>
      <x:c r="D187" s="26" t="n">
        <x:v>82</x:v>
      </x:c>
      <x:c r="E187" s="26" t="n">
        <x:v>5</x:v>
      </x:c>
      <x:c r="F187" s="26" t="str">
        <x:v>Ja'Kobi Lane</x:v>
      </x:c>
      <x:c r="G187" s="26" t="str">
        <x:v>BAL</x:v>
      </x:c>
      <x:c r="H187" s="26" t="str">
        <x:v>WR</x:v>
      </x:c>
      <x:c r="I187" s="28" t="n">
        <x:v>66.1</x:v>
      </x:c>
      <x:c r="J187" s="28" t="n">
        <x:v>110.6</x:v>
      </x:c>
      <x:c r="K187" s="28" t="n">
        <x:v>-44.5</x:v>
      </x:c>
      <x:c r="L187" s="28" t="n">
        <x:v>0</x:v>
      </x:c>
      <x:c r="M187" s="28" t="n">
        <x:v>-44.5</x:v>
      </x:c>
      <x:c r="N187" s="28"/>
      <x:c r="O187" s="26" t="str">
        <x:v>ADP_NOT_LOADED</x:v>
      </x:c>
      <x:c r="P187" s="26" t="str">
        <x:v>Projection-only v1.0</x:v>
      </x:c>
    </x:row>
    <x:row r="188">
      <x:c r="A188" s="26" t="str">
        <x:v>half_ppr</x:v>
      </x:c>
      <x:c r="B188" s="26" t="n">
        <x:v>184</x:v>
      </x:c>
      <x:c r="C188" s="26" t="n">
        <x:v>8</x:v>
      </x:c>
      <x:c r="D188" s="26" t="n">
        <x:v>24</x:v>
      </x:c>
      <x:c r="E188" s="26" t="n">
        <x:v>4</x:v>
      </x:c>
      <x:c r="F188" s="26" t="str">
        <x:v>Cam Ward</x:v>
      </x:c>
      <x:c r="G188" s="26" t="str">
        <x:v>TEN</x:v>
      </x:c>
      <x:c r="H188" s="26" t="str">
        <x:v>QB</x:v>
      </x:c>
      <x:c r="I188" s="28" t="n">
        <x:v>246.1</x:v>
      </x:c>
      <x:c r="J188" s="28" t="n">
        <x:v>290.6</x:v>
      </x:c>
      <x:c r="K188" s="28" t="n">
        <x:v>-44.50000000000003</x:v>
      </x:c>
      <x:c r="L188" s="28" t="n">
        <x:v>0</x:v>
      </x:c>
      <x:c r="M188" s="28" t="n">
        <x:v>-44.50000000000003</x:v>
      </x:c>
      <x:c r="N188" s="28"/>
      <x:c r="O188" s="26" t="str">
        <x:v>ADP_NOT_LOADED</x:v>
      </x:c>
      <x:c r="P188" s="26" t="str">
        <x:v>Projection-only v1.0</x:v>
      </x:c>
    </x:row>
    <x:row r="189">
      <x:c r="A189" s="26" t="str">
        <x:v>half_ppr</x:v>
      </x:c>
      <x:c r="B189" s="26" t="n">
        <x:v>185</x:v>
      </x:c>
      <x:c r="C189" s="26" t="n">
        <x:v>8</x:v>
      </x:c>
      <x:c r="D189" s="26" t="n">
        <x:v>25</x:v>
      </x:c>
      <x:c r="E189" s="26" t="n">
        <x:v>5</x:v>
      </x:c>
      <x:c r="F189" s="26" t="str">
        <x:v>Sam Darnold</x:v>
      </x:c>
      <x:c r="G189" s="26" t="str">
        <x:v>SEA</x:v>
      </x:c>
      <x:c r="H189" s="26" t="str">
        <x:v>QB</x:v>
      </x:c>
      <x:c r="I189" s="28" t="n">
        <x:v>245.1</x:v>
      </x:c>
      <x:c r="J189" s="28" t="n">
        <x:v>290.6</x:v>
      </x:c>
      <x:c r="K189" s="28" t="n">
        <x:v>-45.50000000000003</x:v>
      </x:c>
      <x:c r="L189" s="28" t="n">
        <x:v>0</x:v>
      </x:c>
      <x:c r="M189" s="28" t="n">
        <x:v>-45.50000000000003</x:v>
      </x:c>
      <x:c r="N189" s="28"/>
      <x:c r="O189" s="26" t="str">
        <x:v>ADP_NOT_LOADED</x:v>
      </x:c>
      <x:c r="P189" s="26" t="str">
        <x:v>Projection-only v1.0</x:v>
      </x:c>
    </x:row>
    <x:row r="190">
      <x:c r="A190" s="26" t="str">
        <x:v>half_ppr</x:v>
      </x:c>
      <x:c r="B190" s="26" t="n">
        <x:v>186</x:v>
      </x:c>
      <x:c r="C190" s="26" t="n">
        <x:v>8</x:v>
      </x:c>
      <x:c r="D190" s="26" t="n">
        <x:v>79</x:v>
      </x:c>
      <x:c r="E190" s="26" t="n">
        <x:v>5</x:v>
      </x:c>
      <x:c r="F190" s="26" t="str">
        <x:v>Troy Franklin</x:v>
      </x:c>
      <x:c r="G190" s="26" t="str">
        <x:v>DEN</x:v>
      </x:c>
      <x:c r="H190" s="26" t="str">
        <x:v>WR</x:v>
      </x:c>
      <x:c r="I190" s="28" t="n">
        <x:v>64.9</x:v>
      </x:c>
      <x:c r="J190" s="28" t="n">
        <x:v>110.6</x:v>
      </x:c>
      <x:c r="K190" s="28" t="n">
        <x:v>-45.69999999999999</x:v>
      </x:c>
      <x:c r="L190" s="28" t="n">
        <x:v>0</x:v>
      </x:c>
      <x:c r="M190" s="28" t="n">
        <x:v>-45.69999999999999</x:v>
      </x:c>
      <x:c r="N190" s="28"/>
      <x:c r="O190" s="26" t="str">
        <x:v>ADP_NOT_LOADED</x:v>
      </x:c>
      <x:c r="P190" s="26" t="str">
        <x:v>Projection-only v1.0</x:v>
      </x:c>
    </x:row>
    <x:row r="191">
      <x:c r="A191" s="26" t="str">
        <x:v>half_ppr</x:v>
      </x:c>
      <x:c r="B191" s="26" t="n">
        <x:v>187</x:v>
      </x:c>
      <x:c r="C191" s="26" t="n">
        <x:v>8</x:v>
      </x:c>
      <x:c r="D191" s="26" t="n">
        <x:v>57</x:v>
      </x:c>
      <x:c r="E191" s="26" t="n">
        <x:v>4</x:v>
      </x:c>
      <x:c r="F191" s="26" t="str">
        <x:v>Keaton Mitchell</x:v>
      </x:c>
      <x:c r="G191" s="26" t="str">
        <x:v>LAC</x:v>
      </x:c>
      <x:c r="H191" s="26" t="str">
        <x:v>RB</x:v>
      </x:c>
      <x:c r="I191" s="28" t="n">
        <x:v>78.8</x:v>
      </x:c>
      <x:c r="J191" s="28" t="n">
        <x:v>124.5</x:v>
      </x:c>
      <x:c r="K191" s="28" t="n">
        <x:v>-45.7</x:v>
      </x:c>
      <x:c r="L191" s="28" t="n">
        <x:v>0</x:v>
      </x:c>
      <x:c r="M191" s="28" t="n">
        <x:v>-45.7</x:v>
      </x:c>
      <x:c r="N191" s="28"/>
      <x:c r="O191" s="26" t="str">
        <x:v>ADP_NOT_LOADED</x:v>
      </x:c>
      <x:c r="P191" s="26" t="str">
        <x:v>Projection-only v1.0</x:v>
      </x:c>
    </x:row>
    <x:row r="192">
      <x:c r="A192" s="26" t="str">
        <x:v>half_ppr</x:v>
      </x:c>
      <x:c r="B192" s="26" t="n">
        <x:v>188</x:v>
      </x:c>
      <x:c r="C192" s="26" t="n">
        <x:v>8</x:v>
      </x:c>
      <x:c r="D192" s="26" t="n">
        <x:v>25</x:v>
      </x:c>
      <x:c r="E192" s="26" t="n">
        <x:v>5</x:v>
      </x:c>
      <x:c r="F192" s="26" t="str">
        <x:v>Chig Okonkwo</x:v>
      </x:c>
      <x:c r="G192" s="26" t="str">
        <x:v>WAS</x:v>
      </x:c>
      <x:c r="H192" s="26" t="str">
        <x:v>TE</x:v>
      </x:c>
      <x:c r="I192" s="28" t="n">
        <x:v>97.2</x:v>
      </x:c>
      <x:c r="J192" s="28" t="n">
        <x:v>143.3</x:v>
      </x:c>
      <x:c r="K192" s="28" t="n">
        <x:v>-46.10000000000001</x:v>
      </x:c>
      <x:c r="L192" s="28" t="n">
        <x:v>0</x:v>
      </x:c>
      <x:c r="M192" s="28" t="n">
        <x:v>-46.10000000000001</x:v>
      </x:c>
      <x:c r="N192" s="28"/>
      <x:c r="O192" s="26" t="str">
        <x:v>ADP_NOT_LOADED</x:v>
      </x:c>
      <x:c r="P192" s="26" t="str">
        <x:v>Projection-only v1.0</x:v>
      </x:c>
    </x:row>
    <x:row r="193">
      <x:c r="A193" s="26" t="str">
        <x:v>half_ppr</x:v>
      </x:c>
      <x:c r="B193" s="26" t="n">
        <x:v>189</x:v>
      </x:c>
      <x:c r="C193" s="26" t="n">
        <x:v>8</x:v>
      </x:c>
      <x:c r="D193" s="26" t="n">
        <x:v>80</x:v>
      </x:c>
      <x:c r="E193" s="26" t="n">
        <x:v>5</x:v>
      </x:c>
      <x:c r="F193" s="26" t="str">
        <x:v>Malik Benson</x:v>
      </x:c>
      <x:c r="G193" s="26" t="str">
        <x:v>LV</x:v>
      </x:c>
      <x:c r="H193" s="26" t="str">
        <x:v>WR</x:v>
      </x:c>
      <x:c r="I193" s="28" t="n">
        <x:v>64.1</x:v>
      </x:c>
      <x:c r="J193" s="28" t="n">
        <x:v>110.6</x:v>
      </x:c>
      <x:c r="K193" s="28" t="n">
        <x:v>-46.5</x:v>
      </x:c>
      <x:c r="L193" s="28" t="n">
        <x:v>0</x:v>
      </x:c>
      <x:c r="M193" s="28" t="n">
        <x:v>-46.5</x:v>
      </x:c>
      <x:c r="N193" s="28"/>
      <x:c r="O193" s="26" t="str">
        <x:v>ADP_NOT_LOADED</x:v>
      </x:c>
      <x:c r="P193" s="26" t="str">
        <x:v>Projection-only v1.0</x:v>
      </x:c>
    </x:row>
    <x:row r="194">
      <x:c r="A194" s="26" t="str">
        <x:v>half_ppr</x:v>
      </x:c>
      <x:c r="B194" s="26" t="n">
        <x:v>190</x:v>
      </x:c>
      <x:c r="C194" s="26" t="n">
        <x:v>8</x:v>
      </x:c>
      <x:c r="D194" s="26" t="n">
        <x:v>88</x:v>
      </x:c>
      <x:c r="E194" s="26" t="n">
        <x:v>5</x:v>
      </x:c>
      <x:c r="F194" s="26" t="str">
        <x:v>Tyquan Thornton</x:v>
      </x:c>
      <x:c r="G194" s="26" t="str">
        <x:v>KC</x:v>
      </x:c>
      <x:c r="H194" s="26" t="str">
        <x:v>WR</x:v>
      </x:c>
      <x:c r="I194" s="28" t="n">
        <x:v>63.5</x:v>
      </x:c>
      <x:c r="J194" s="28" t="n">
        <x:v>110.6</x:v>
      </x:c>
      <x:c r="K194" s="28" t="n">
        <x:v>-47.099999999999994</x:v>
      </x:c>
      <x:c r="L194" s="28" t="n">
        <x:v>0</x:v>
      </x:c>
      <x:c r="M194" s="28" t="n">
        <x:v>-47.099999999999994</x:v>
      </x:c>
      <x:c r="N194" s="28"/>
      <x:c r="O194" s="26" t="str">
        <x:v>ADP_NOT_LOADED</x:v>
      </x:c>
      <x:c r="P194" s="26" t="str">
        <x:v>Projection-only v1.0</x:v>
      </x:c>
    </x:row>
    <x:row r="195">
      <x:c r="A195" s="26" t="str">
        <x:v>half_ppr</x:v>
      </x:c>
      <x:c r="B195" s="26" t="n">
        <x:v>191</x:v>
      </x:c>
      <x:c r="C195" s="26" t="n">
        <x:v>8</x:v>
      </x:c>
      <x:c r="D195" s="26" t="n">
        <x:v>87</x:v>
      </x:c>
      <x:c r="E195" s="26" t="n">
        <x:v>5</x:v>
      </x:c>
      <x:c r="F195" s="26" t="str">
        <x:v>Kayshon Boutte</x:v>
      </x:c>
      <x:c r="G195" s="26" t="str">
        <x:v>NE</x:v>
      </x:c>
      <x:c r="H195" s="26" t="str">
        <x:v>WR</x:v>
      </x:c>
      <x:c r="I195" s="28" t="n">
        <x:v>62.8</x:v>
      </x:c>
      <x:c r="J195" s="28" t="n">
        <x:v>110.6</x:v>
      </x:c>
      <x:c r="K195" s="28" t="n">
        <x:v>-47.8</x:v>
      </x:c>
      <x:c r="L195" s="28" t="n">
        <x:v>0</x:v>
      </x:c>
      <x:c r="M195" s="28" t="n">
        <x:v>-47.8</x:v>
      </x:c>
      <x:c r="N195" s="28"/>
      <x:c r="O195" s="26" t="str">
        <x:v>ADP_NOT_LOADED</x:v>
      </x:c>
      <x:c r="P195" s="26" t="str">
        <x:v>Projection-only v1.0</x:v>
      </x:c>
    </x:row>
    <x:row r="196">
      <x:c r="A196" s="26" t="str">
        <x:v>half_ppr</x:v>
      </x:c>
      <x:c r="B196" s="26" t="n">
        <x:v>192</x:v>
      </x:c>
      <x:c r="C196" s="26" t="n">
        <x:v>8</x:v>
      </x:c>
      <x:c r="D196" s="26" t="n">
        <x:v>85</x:v>
      </x:c>
      <x:c r="E196" s="26" t="n">
        <x:v>5</x:v>
      </x:c>
      <x:c r="F196" s="26" t="str">
        <x:v>Cooper Kupp</x:v>
      </x:c>
      <x:c r="G196" s="26" t="str">
        <x:v>SEA</x:v>
      </x:c>
      <x:c r="H196" s="26" t="str">
        <x:v>WR</x:v>
      </x:c>
      <x:c r="I196" s="28" t="n">
        <x:v>61.9</x:v>
      </x:c>
      <x:c r="J196" s="28" t="n">
        <x:v>110.6</x:v>
      </x:c>
      <x:c r="K196" s="28" t="n">
        <x:v>-48.699999999999996</x:v>
      </x:c>
      <x:c r="L196" s="28" t="n">
        <x:v>0</x:v>
      </x:c>
      <x:c r="M196" s="28" t="n">
        <x:v>-48.699999999999996</x:v>
      </x:c>
      <x:c r="N196" s="28"/>
      <x:c r="O196" s="26" t="str">
        <x:v>ADP_NOT_LOADED</x:v>
      </x:c>
      <x:c r="P196" s="26" t="str">
        <x:v>Projection-only v1.0</x:v>
      </x:c>
    </x:row>
    <x:row r="197">
      <x:c r="A197" s="26" t="str">
        <x:v>half_ppr</x:v>
      </x:c>
      <x:c r="B197" s="26" t="n">
        <x:v>193</x:v>
      </x:c>
      <x:c r="C197" s="26" t="n">
        <x:v>8</x:v>
      </x:c>
      <x:c r="D197" s="26" t="n">
        <x:v>83</x:v>
      </x:c>
      <x:c r="E197" s="26" t="n">
        <x:v>5</x:v>
      </x:c>
      <x:c r="F197" s="26" t="str">
        <x:v>Dontayvion Wicks</x:v>
      </x:c>
      <x:c r="G197" s="26" t="str">
        <x:v>PHI</x:v>
      </x:c>
      <x:c r="H197" s="26" t="str">
        <x:v>WR</x:v>
      </x:c>
      <x:c r="I197" s="28" t="n">
        <x:v>61.8</x:v>
      </x:c>
      <x:c r="J197" s="28" t="n">
        <x:v>110.6</x:v>
      </x:c>
      <x:c r="K197" s="28" t="n">
        <x:v>-48.8</x:v>
      </x:c>
      <x:c r="L197" s="28" t="n">
        <x:v>0</x:v>
      </x:c>
      <x:c r="M197" s="28" t="n">
        <x:v>-48.8</x:v>
      </x:c>
      <x:c r="N197" s="28"/>
      <x:c r="O197" s="26" t="str">
        <x:v>ADP_NOT_LOADED</x:v>
      </x:c>
      <x:c r="P197" s="26" t="str">
        <x:v>Projection-only v1.0</x:v>
      </x:c>
    </x:row>
    <x:row r="198">
      <x:c r="A198" s="26" t="str">
        <x:v>half_ppr</x:v>
      </x:c>
      <x:c r="B198" s="26" t="n">
        <x:v>194</x:v>
      </x:c>
      <x:c r="C198" s="26" t="n">
        <x:v>8</x:v>
      </x:c>
      <x:c r="D198" s="26" t="n">
        <x:v>86</x:v>
      </x:c>
      <x:c r="E198" s="26" t="n">
        <x:v>5</x:v>
      </x:c>
      <x:c r="F198" s="26" t="str">
        <x:v>Jordyn Tyson</x:v>
      </x:c>
      <x:c r="G198" s="26" t="str">
        <x:v>NO</x:v>
      </x:c>
      <x:c r="H198" s="26" t="str">
        <x:v>WR</x:v>
      </x:c>
      <x:c r="I198" s="28" t="n">
        <x:v>61.3</x:v>
      </x:c>
      <x:c r="J198" s="28" t="n">
        <x:v>110.6</x:v>
      </x:c>
      <x:c r="K198" s="28" t="n">
        <x:v>-49.3</x:v>
      </x:c>
      <x:c r="L198" s="28" t="n">
        <x:v>0</x:v>
      </x:c>
      <x:c r="M198" s="28" t="n">
        <x:v>-49.3</x:v>
      </x:c>
      <x:c r="N198" s="28"/>
      <x:c r="O198" s="26" t="str">
        <x:v>ADP_NOT_LOADED</x:v>
      </x:c>
      <x:c r="P198" s="26" t="str">
        <x:v>Projection-only v1.0</x:v>
      </x:c>
    </x:row>
    <x:row r="199">
      <x:c r="A199" s="26" t="str">
        <x:v>half_ppr</x:v>
      </x:c>
      <x:c r="B199" s="26" t="n">
        <x:v>195</x:v>
      </x:c>
      <x:c r="C199" s="26" t="n">
        <x:v>8</x:v>
      </x:c>
      <x:c r="D199" s="26" t="n">
        <x:v>84</x:v>
      </x:c>
      <x:c r="E199" s="26" t="n">
        <x:v>5</x:v>
      </x:c>
      <x:c r="F199" s="26" t="str">
        <x:v>Jack Bech</x:v>
      </x:c>
      <x:c r="G199" s="26" t="str">
        <x:v>LV</x:v>
      </x:c>
      <x:c r="H199" s="26" t="str">
        <x:v>WR</x:v>
      </x:c>
      <x:c r="I199" s="28" t="n">
        <x:v>61</x:v>
      </x:c>
      <x:c r="J199" s="28" t="n">
        <x:v>110.6</x:v>
      </x:c>
      <x:c r="K199" s="28" t="n">
        <x:v>-49.599999999999994</x:v>
      </x:c>
      <x:c r="L199" s="28" t="n">
        <x:v>0</x:v>
      </x:c>
      <x:c r="M199" s="28" t="n">
        <x:v>-49.599999999999994</x:v>
      </x:c>
      <x:c r="N199" s="28"/>
      <x:c r="O199" s="26" t="str">
        <x:v>ADP_NOT_LOADED</x:v>
      </x:c>
      <x:c r="P199" s="26" t="str">
        <x:v>Projection-only v1.0</x:v>
      </x:c>
    </x:row>
    <x:row r="200">
      <x:c r="A200" s="26" t="str">
        <x:v>half_ppr</x:v>
      </x:c>
      <x:c r="B200" s="26" t="n">
        <x:v>196</x:v>
      </x:c>
      <x:c r="C200" s="26" t="n">
        <x:v>8</x:v>
      </x:c>
      <x:c r="D200" s="26" t="n">
        <x:v>26</x:v>
      </x:c>
      <x:c r="E200" s="26" t="n">
        <x:v>5</x:v>
      </x:c>
      <x:c r="F200" s="26" t="str">
        <x:v>Greg Dulcich</x:v>
      </x:c>
      <x:c r="G200" s="26" t="str">
        <x:v>MIA</x:v>
      </x:c>
      <x:c r="H200" s="26" t="str">
        <x:v>TE</x:v>
      </x:c>
      <x:c r="I200" s="28" t="n">
        <x:v>93.6</x:v>
      </x:c>
      <x:c r="J200" s="28" t="n">
        <x:v>143.3</x:v>
      </x:c>
      <x:c r="K200" s="28" t="n">
        <x:v>-49.70000000000002</x:v>
      </x:c>
      <x:c r="L200" s="28" t="n">
        <x:v>0</x:v>
      </x:c>
      <x:c r="M200" s="28" t="n">
        <x:v>-49.70000000000002</x:v>
      </x:c>
      <x:c r="N200" s="28"/>
      <x:c r="O200" s="26" t="str">
        <x:v>ADP_NOT_LOADED</x:v>
      </x:c>
      <x:c r="P200" s="26" t="str">
        <x:v>Projection-only v1.0</x:v>
      </x:c>
    </x:row>
    <x:row r="201">
      <x:c r="A201" s="26" t="str">
        <x:v>half_ppr</x:v>
      </x:c>
      <x:c r="B201" s="26" t="n">
        <x:v>197</x:v>
      </x:c>
      <x:c r="C201" s="26" t="n">
        <x:v>8</x:v>
      </x:c>
      <x:c r="D201" s="26" t="n">
        <x:v>89</x:v>
      </x:c>
      <x:c r="E201" s="26" t="n">
        <x:v>5</x:v>
      </x:c>
      <x:c r="F201" s="26" t="str">
        <x:v>Devontez Walker</x:v>
      </x:c>
      <x:c r="G201" s="26" t="str">
        <x:v>BAL</x:v>
      </x:c>
      <x:c r="H201" s="26" t="str">
        <x:v>WR</x:v>
      </x:c>
      <x:c r="I201" s="28" t="n">
        <x:v>58.9</x:v>
      </x:c>
      <x:c r="J201" s="28" t="n">
        <x:v>110.6</x:v>
      </x:c>
      <x:c r="K201" s="28" t="n">
        <x:v>-51.699999999999996</x:v>
      </x:c>
      <x:c r="L201" s="28" t="n">
        <x:v>0</x:v>
      </x:c>
      <x:c r="M201" s="28" t="n">
        <x:v>-51.699999999999996</x:v>
      </x:c>
      <x:c r="N201" s="28"/>
      <x:c r="O201" s="26" t="str">
        <x:v>ADP_NOT_LOADED</x:v>
      </x:c>
      <x:c r="P201" s="26" t="str">
        <x:v>Projection-only v1.0</x:v>
      </x:c>
    </x:row>
    <x:row r="202">
      <x:c r="A202" s="26" t="str">
        <x:v>half_ppr</x:v>
      </x:c>
      <x:c r="B202" s="26" t="n">
        <x:v>198</x:v>
      </x:c>
      <x:c r="C202" s="26" t="n">
        <x:v>8</x:v>
      </x:c>
      <x:c r="D202" s="26" t="n">
        <x:v>60</x:v>
      </x:c>
      <x:c r="E202" s="26" t="n">
        <x:v>4</x:v>
      </x:c>
      <x:c r="F202" s="26" t="str">
        <x:v>Jordan James</x:v>
      </x:c>
      <x:c r="G202" s="26" t="str">
        <x:v>SF</x:v>
      </x:c>
      <x:c r="H202" s="26" t="str">
        <x:v>RB</x:v>
      </x:c>
      <x:c r="I202" s="28" t="n">
        <x:v>72.7</x:v>
      </x:c>
      <x:c r="J202" s="28" t="n">
        <x:v>124.5</x:v>
      </x:c>
      <x:c r="K202" s="28" t="n">
        <x:v>-51.8</x:v>
      </x:c>
      <x:c r="L202" s="28" t="n">
        <x:v>0</x:v>
      </x:c>
      <x:c r="M202" s="28" t="n">
        <x:v>-51.8</x:v>
      </x:c>
      <x:c r="N202" s="28"/>
      <x:c r="O202" s="26" t="str">
        <x:v>ADP_NOT_LOADED</x:v>
      </x:c>
      <x:c r="P202" s="26" t="str">
        <x:v>Projection-only v1.0</x:v>
      </x:c>
    </x:row>
    <x:row r="203">
      <x:c r="A203" s="26" t="str">
        <x:v>half_ppr</x:v>
      </x:c>
      <x:c r="B203" s="26" t="n">
        <x:v>199</x:v>
      </x:c>
      <x:c r="C203" s="26" t="n">
        <x:v>8</x:v>
      </x:c>
      <x:c r="D203" s="26" t="n">
        <x:v>92</x:v>
      </x:c>
      <x:c r="E203" s="26" t="n">
        <x:v>5</x:v>
      </x:c>
      <x:c r="F203" s="26" t="str">
        <x:v>Elic Ayomanor</x:v>
      </x:c>
      <x:c r="G203" s="26" t="str">
        <x:v>TEN</x:v>
      </x:c>
      <x:c r="H203" s="26" t="str">
        <x:v>WR</x:v>
      </x:c>
      <x:c r="I203" s="28" t="n">
        <x:v>58.8</x:v>
      </x:c>
      <x:c r="J203" s="28" t="n">
        <x:v>110.6</x:v>
      </x:c>
      <x:c r="K203" s="28" t="n">
        <x:v>-51.8</x:v>
      </x:c>
      <x:c r="L203" s="28" t="n">
        <x:v>0</x:v>
      </x:c>
      <x:c r="M203" s="28" t="n">
        <x:v>-51.8</x:v>
      </x:c>
      <x:c r="N203" s="28"/>
      <x:c r="O203" s="26" t="str">
        <x:v>ADP_NOT_LOADED</x:v>
      </x:c>
      <x:c r="P203" s="26" t="str">
        <x:v>Projection-only v1.0</x:v>
      </x:c>
    </x:row>
    <x:row r="204">
      <x:c r="A204" s="26" t="str">
        <x:v>half_ppr</x:v>
      </x:c>
      <x:c r="B204" s="26" t="n">
        <x:v>200</x:v>
      </x:c>
      <x:c r="C204" s="26" t="n">
        <x:v>8</x:v>
      </x:c>
      <x:c r="D204" s="26" t="n">
        <x:v>91</x:v>
      </x:c>
      <x:c r="E204" s="26" t="n">
        <x:v>5</x:v>
      </x:c>
      <x:c r="F204" s="26" t="str">
        <x:v>Ryan Flournoy</x:v>
      </x:c>
      <x:c r="G204" s="26" t="str">
        <x:v>DAL</x:v>
      </x:c>
      <x:c r="H204" s="26" t="str">
        <x:v>WR</x:v>
      </x:c>
      <x:c r="I204" s="28" t="n">
        <x:v>58.1</x:v>
      </x:c>
      <x:c r="J204" s="28" t="n">
        <x:v>110.6</x:v>
      </x:c>
      <x:c r="K204" s="28" t="n">
        <x:v>-52.49999999999999</x:v>
      </x:c>
      <x:c r="L204" s="28" t="n">
        <x:v>0</x:v>
      </x:c>
      <x:c r="M204" s="28" t="n">
        <x:v>-52.49999999999999</x:v>
      </x:c>
      <x:c r="N204" s="28"/>
      <x:c r="O204" s="26" t="str">
        <x:v>ADP_NOT_LOADED</x:v>
      </x:c>
      <x:c r="P204" s="26" t="str">
        <x:v>Projection-only v1.0</x:v>
      </x:c>
    </x:row>
  </x:sheetData>
  <x:mergeCells>
    <x:mergeCell ref="A1:P1"/>
    <x:mergeCell ref="A2:P2"/>
  </x:mergeCells>
  <x:pageMargins left="0.7" right="0.7" top="0.75" bottom="0.75" header="0.3" footer="0.3"/>
</x:worksheet>
</file>